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2133122\Downloads\IDE Java FSE - React\"/>
    </mc:Choice>
  </mc:AlternateContent>
  <xr:revisionPtr revIDLastSave="0" documentId="8_{BB541723-5384-4C1E-9827-FFCC061F16C6}" xr6:coauthVersionLast="47" xr6:coauthVersionMax="47" xr10:uidLastSave="{00000000-0000-0000-0000-000000000000}"/>
  <bookViews>
    <workbookView xWindow="-110" yWindow="-110" windowWidth="19420" windowHeight="10300" tabRatio="936" activeTab="1" xr2:uid="{00000000-000D-0000-FFFF-FFFF00000000}"/>
  </bookViews>
  <sheets>
    <sheet name="About the Curriculum" sheetId="1" r:id="rId1"/>
    <sheet name="Dev-Led View" sheetId="12" r:id="rId2"/>
    <sheet name="Module List" sheetId="9" r:id="rId3"/>
    <sheet name="Performance Outcomes" sheetId="3" r:id="rId4"/>
    <sheet name="Refresher - Tech Scope" sheetId="4" r:id="rId5"/>
    <sheet name="Sprint 1 - Tech Scope" sheetId="5" r:id="rId6"/>
    <sheet name="Sprint 2 - Tech Scope" sheetId="6" r:id="rId7"/>
    <sheet name="Sprint 3 - Tech Scope" sheetId="7" r:id="rId8"/>
    <sheet name="Sprint 4 - Tech Scope" sheetId="13" r:id="rId9"/>
    <sheet name="Sprint 5 - Tech Scope" sheetId="15" r:id="rId10"/>
    <sheet name="BH Training - Scope" sheetId="10" r:id="rId11"/>
    <sheet name="AI Accelerate - Coverage" sheetId="11" r:id="rId12"/>
    <sheet name="GitHub Copilot - Coverage" sheetId="14"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4" i="9" l="1"/>
  <c r="J34" i="9"/>
  <c r="J33" i="9"/>
  <c r="K33" i="9" s="1"/>
  <c r="J32" i="9"/>
  <c r="G34" i="9"/>
  <c r="J19" i="9"/>
  <c r="J2" i="9" l="1"/>
  <c r="K2" i="9" l="1"/>
  <c r="G23" i="9"/>
  <c r="G13" i="9"/>
  <c r="G21" i="9"/>
  <c r="G5" i="9" l="1"/>
  <c r="J14" i="9"/>
  <c r="G18" i="9"/>
  <c r="J31" i="9"/>
  <c r="K31" i="9" s="1"/>
  <c r="J27" i="9" l="1"/>
  <c r="K27" i="9" s="1"/>
  <c r="G24" i="9"/>
  <c r="J22" i="9"/>
  <c r="K22" i="9" s="1"/>
  <c r="G7" i="9"/>
  <c r="G9" i="9"/>
  <c r="G10" i="9"/>
  <c r="G12" i="9"/>
  <c r="G15" i="9"/>
  <c r="G2" i="9"/>
  <c r="G22" i="9"/>
  <c r="G25" i="9"/>
  <c r="G26" i="9"/>
  <c r="G20" i="9"/>
  <c r="G30" i="9"/>
  <c r="G31" i="9"/>
  <c r="G32" i="9"/>
  <c r="G4" i="9"/>
  <c r="G6" i="9"/>
  <c r="G3" i="9"/>
  <c r="K32" i="9"/>
  <c r="G33" i="9" l="1"/>
  <c r="F11" i="9" l="1"/>
  <c r="J6" i="9" s="1"/>
  <c r="J35" i="9" s="1"/>
  <c r="G11" i="9" l="1"/>
  <c r="G8" i="9"/>
  <c r="G16" i="9"/>
  <c r="G17" i="9"/>
  <c r="G27" i="9"/>
  <c r="G19" i="9"/>
  <c r="G14" i="9"/>
  <c r="G28" i="9"/>
  <c r="K14" i="9"/>
  <c r="G29" i="9"/>
  <c r="K19" i="9"/>
  <c r="K6" i="9" l="1"/>
  <c r="K35" i="9" s="1"/>
</calcChain>
</file>

<file path=xl/sharedStrings.xml><?xml version="1.0" encoding="utf-8"?>
<sst xmlns="http://schemas.openxmlformats.org/spreadsheetml/2006/main" count="748" uniqueCount="637">
  <si>
    <t>1. Name of the track</t>
  </si>
  <si>
    <t xml:space="preserve">2. Category (Technical/Domain/Behavioral): </t>
  </si>
  <si>
    <t>Technical and Behavioral</t>
  </si>
  <si>
    <t>Delivery Readiness according to Performance Outcomes detailed in this file (Refer "Performance Outcomes" sheet</t>
  </si>
  <si>
    <t xml:space="preserve">5. Who is the target audience? </t>
  </si>
  <si>
    <t>6. What is the gating criteria?</t>
  </si>
  <si>
    <t>Week</t>
  </si>
  <si>
    <t>Sprint</t>
  </si>
  <si>
    <t>Duration</t>
  </si>
  <si>
    <t>Skills</t>
  </si>
  <si>
    <t>FSE Aspect</t>
  </si>
  <si>
    <t>Deliverables</t>
  </si>
  <si>
    <t>Agile Ceremonies</t>
  </si>
  <si>
    <t>Software Tools/APIs</t>
  </si>
  <si>
    <t>Week 6</t>
  </si>
  <si>
    <t>Interim Evaluation</t>
  </si>
  <si>
    <t>Final Evaluation</t>
  </si>
  <si>
    <t>Course Categories</t>
  </si>
  <si>
    <t>Courses/Modules</t>
  </si>
  <si>
    <t>Delivery Mode</t>
  </si>
  <si>
    <t>Baseline Duration(Hrs.)</t>
  </si>
  <si>
    <t>No of days</t>
  </si>
  <si>
    <t>Enablement Assured Level</t>
  </si>
  <si>
    <t>Assessment Assured Level</t>
  </si>
  <si>
    <t>Agile Methodology</t>
  </si>
  <si>
    <t>Knowledge</t>
  </si>
  <si>
    <t>Skill</t>
  </si>
  <si>
    <t xml:space="preserve">Application Debugging - Front-end </t>
  </si>
  <si>
    <t>Spring Core and Maven</t>
  </si>
  <si>
    <t>Spring Data JPA with Spring Boot, Hibernate</t>
  </si>
  <si>
    <t>E-Learning</t>
  </si>
  <si>
    <t xml:space="preserve">Spring REST using Spring Boot 3 </t>
  </si>
  <si>
    <t>Microservices with Spring Boot 3 and Spring Cloud</t>
  </si>
  <si>
    <t>Sprint 4</t>
  </si>
  <si>
    <t xml:space="preserve">TDD using JUnit and Mockito </t>
  </si>
  <si>
    <t>SLF4J and Lombok</t>
  </si>
  <si>
    <t>Code Quality Standards</t>
  </si>
  <si>
    <t>SonarQube</t>
  </si>
  <si>
    <t>Sprint 5</t>
  </si>
  <si>
    <t>Docker Basics</t>
  </si>
  <si>
    <t>Final Assessment</t>
  </si>
  <si>
    <t>Behavioral Training</t>
  </si>
  <si>
    <t>Behavioral Sessions</t>
  </si>
  <si>
    <t>AI Accelerate</t>
  </si>
  <si>
    <t>Blended Learning</t>
  </si>
  <si>
    <t>Cohort Mentoring</t>
  </si>
  <si>
    <t>Cohort Mentor Sessions</t>
  </si>
  <si>
    <t>Total Track Duration (Hrs.)</t>
  </si>
  <si>
    <t>Secure Coding - Mandatory Learning</t>
  </si>
  <si>
    <t>NA</t>
  </si>
  <si>
    <t>Mandatory Learning (Clearn)</t>
  </si>
  <si>
    <t>Java Security Fundamentals (CTKJE819)</t>
  </si>
  <si>
    <t>Java Advanced Secure Coding (ELRNG00274)</t>
  </si>
  <si>
    <t>Key Performance Outcomes</t>
  </si>
  <si>
    <t>Topics</t>
  </si>
  <si>
    <t>Sub-Topics</t>
  </si>
  <si>
    <t>Introduction to Agile</t>
  </si>
  <si>
    <t>Overview of Agile principles and values, Comparison with traditional waterfall methodology</t>
  </si>
  <si>
    <t>Agile Manifesto</t>
  </si>
  <si>
    <t>Understanding the four Agile values and twelve principles, Exploring how these values and principles guide Agile practices</t>
  </si>
  <si>
    <t>Scrum Framework</t>
  </si>
  <si>
    <t>Roles in Scrum (Product Owner, Scrum Master, Development Team), Scrum ceremonies (Sprint Planning, Daily Stand-up, Sprint Review, Sprint Retrospective), Scrum artifacts (Product Backlog, Sprint Backlog, Increment)</t>
  </si>
  <si>
    <t>Agile Estimation and Planning</t>
  </si>
  <si>
    <t>Techniques for Agile estimation (Story Points, Planning Poker), Agile planning techniques (Release Planning, Iteration Planning)</t>
  </si>
  <si>
    <t>Agile User Stories</t>
  </si>
  <si>
    <t>Writing effective user stories, Acceptance criteria for user stories</t>
  </si>
  <si>
    <t>Agile Metrics and Reporting</t>
  </si>
  <si>
    <t>Key Agile metrics (Velocity, Burndown Charts), Reporting progress in Agile projects</t>
  </si>
  <si>
    <t>Introduction to Spring Framework</t>
  </si>
  <si>
    <t>Overview of the Spring Framework, Inversion of Control (IoC) and Dependency Injection (DI), Spring modules: Core, AOP, Data Access, ORM, MVC, etc., Benefits of using Spring in Java applications</t>
  </si>
  <si>
    <t>Setting up a Spring Project with Maven</t>
  </si>
  <si>
    <t>Introduction to Maven build tool, Creating a new Maven project, Adding Spring dependencies in the pom.xml file, Configuring Maven for building and managing dependencies</t>
  </si>
  <si>
    <t>Spring IoC Container</t>
  </si>
  <si>
    <t>Understanding the IoC container, Configuring the Spring IoC container using XML, Defining beans and their dependencies, ApplicationContext and BeanFactory</t>
  </si>
  <si>
    <t>Spring Bean Configuration</t>
  </si>
  <si>
    <t>Using annotations for bean configuration, Component scanning and Stereotype annotations, Java-based configuration with @Configuration, Mixing XML and Java-based configurations</t>
  </si>
  <si>
    <t>Dependency Injection in Spring</t>
  </si>
  <si>
    <t>Constructor injection, Setter injection, Autowiring dependencies, Qualifiers for resolving autowiring conflicts, Using @Resource and @Inject annotations</t>
  </si>
  <si>
    <t>Spring AOP (Aspect-Oriented Programming)</t>
  </si>
  <si>
    <t>Introduction to AOP concepts, Creating aspects and advice, Pointcuts and Joinpoints, AOP proxying mechanisms, Integrating AOP with Spring applications</t>
  </si>
  <si>
    <t>Spring MVC and ORM</t>
  </si>
  <si>
    <t>Overview of MVC and ORM, Configuration, Controller Layer, Model Layer, View Layer, Form Handling, Querying, Validation, Exception Handling</t>
  </si>
  <si>
    <t>Spring Boot (Introduction)</t>
  </si>
  <si>
    <t>Overview of Spring Boot, Simplifying Spring configuration with Boot, Creating a Spring Boot application, Auto-configuration and convention over configuration</t>
  </si>
  <si>
    <t>Reactive Programming with Spring WebFlux</t>
  </si>
  <si>
    <t>Overview of Reactive Web Framework and Non-blocking I/O, Creating and Configuring Reactive Controllers, Handling HTTP Requests and Responses with Mono and Flux, Integrating with NoSQL Databases using Reactive Repositories, Writing Unit and Integration Tests for Reactive Services</t>
  </si>
  <si>
    <t>TDD using JUnit and Mockito</t>
  </si>
  <si>
    <t>Introduction to Test-Driven Development (TDD)</t>
  </si>
  <si>
    <t>Definition and principles of TDD, Benefits of TDD in software development, TDD lifecycle: Red-Green-Refactor, TDD vs. traditional development</t>
  </si>
  <si>
    <t>Getting Started with JUnit</t>
  </si>
  <si>
    <t>Overview of JUnit framework, Writing and running simple JUnit tests, Annotations in JUnit (e.g., @Test, @Before, @After), Assertions for verifying expected outcomes, Test fixture setup and teardown</t>
  </si>
  <si>
    <t>Advanced JUnit Features</t>
  </si>
  <si>
    <t>Parameterized tests, Test suites and categories, Test execution order, Exception testing, Timeout and performance testing</t>
  </si>
  <si>
    <t>Mockito Basics</t>
  </si>
  <si>
    <t>Introduction to Mockito, Mocking and stubbing, Verifying interactions, Argument matching, Handling void methods</t>
  </si>
  <si>
    <t>Testing Spring Applications with JUnit and Mockito</t>
  </si>
  <si>
    <t>Overview of Spring testing, Testing controllers, services, and repositories, Integration testing with Spring Boot, Mocking dependencies in Spring tests</t>
  </si>
  <si>
    <t>Mocking External Dependencies</t>
  </si>
  <si>
    <t>Mocking databases and repositories, Mocking external services (e.g., RESTful APIs), Mocking file I/O and network interactions, Strategies for testing code with external dependencies</t>
  </si>
  <si>
    <t>Continuous Code Quality using SONAR</t>
  </si>
  <si>
    <t>Introduction to Version Control</t>
  </si>
  <si>
    <t>Understanding Git</t>
  </si>
  <si>
    <t>Setting Up Git</t>
  </si>
  <si>
    <t>Basic Git Commands</t>
  </si>
  <si>
    <t>Branching and Merging</t>
  </si>
  <si>
    <t>Remote Repositories</t>
  </si>
  <si>
    <t>Collaborating with Git</t>
  </si>
  <si>
    <t>Application Debugging-Backend</t>
  </si>
  <si>
    <t>Debugging Fundamentals</t>
  </si>
  <si>
    <t>Understanding the Debugging Process, Setting Up Breakpoints, Inspecting Variables and Data</t>
  </si>
  <si>
    <t>Debugging REST Endpoints</t>
  </si>
  <si>
    <t>Debugging Request Mapping and URL Handling, Analyzing Request and Response Objects, Handling Authentication and Authorization Issues</t>
  </si>
  <si>
    <t>Debugging Asynchronous Code</t>
  </si>
  <si>
    <t>Handling Asynchronous Endpoint Calls, Inspecting Threads and Concurrency Issues</t>
  </si>
  <si>
    <t>Introduction to Spring Data JPA</t>
  </si>
  <si>
    <t>Overview of Spring Data JPA, Relationship between JPA and Spring Data JPA, Advantages of using Spring Data JPA in Spring Boot</t>
  </si>
  <si>
    <t>Setting Up a Spring Boot Project with Spring Data JPA</t>
  </si>
  <si>
    <t>Creating a Spring Boot project, Adding Spring Data JPA dependencies, Configuring the application properties for database connection</t>
  </si>
  <si>
    <t>Entity Mapping</t>
  </si>
  <si>
    <t>Introduction to JPA entities, Mapping entities to database tables, Defining primary keys and relationships, Using annotations like @Entity, @Table, @Id, @GeneratedValue, etc.</t>
  </si>
  <si>
    <t>Spring Data Repositories</t>
  </si>
  <si>
    <t>Overview of Spring Data repositories, Creating repositories for entities, Derived queries from method names, Using Query DSL with @Query annotation, Custom query methods</t>
  </si>
  <si>
    <t>CRUD Operations with Spring Data JPA</t>
  </si>
  <si>
    <t>Implementing basic CRUD operations, Using JpaRepository methods for common operations, Executing custom queries with the repository</t>
  </si>
  <si>
    <t>Query Methods and Named Queries</t>
  </si>
  <si>
    <t>Defining query methods in repositories, Using keywords in query methods, Named queries with @NamedQuery and @NamedQueries, Executing dynamic queries</t>
  </si>
  <si>
    <t>Pagination and Sorting</t>
  </si>
  <si>
    <t>Implementing pagination with Page and Pageable, Sorting query results, Combining pagination and sorting</t>
  </si>
  <si>
    <t>Auditing with Spring Data JPA</t>
  </si>
  <si>
    <t>Enabling entity auditing, Using @CreatedBy, @LastModifiedBy, @CreatedDate, and @LastModifiedDate, Configuring auditing properties</t>
  </si>
  <si>
    <t>Spring Data JPA Projections</t>
  </si>
  <si>
    <t>Creating projections for specific data subsets, Interface-based and class-based projections, Using @Value and constructor expressions, Controlling the fetched data with projections</t>
  </si>
  <si>
    <t>Spring Data JPA and Spring Boot Integration</t>
  </si>
  <si>
    <t>Leveraging Spring Boot auto-configuration, Customizing data source configuration, Externalizing configuration with application properties, Managing multiple data sources</t>
  </si>
  <si>
    <t>Spring Data JPA and Hibernate</t>
  </si>
  <si>
    <t>Spring REST with Spring Boot 3</t>
  </si>
  <si>
    <t>Introduction to Spring REST and Spring Boot 3</t>
  </si>
  <si>
    <t>Overview of RESTful architecture, Introduction to Spring REST, Benefits of using Spring Boot for RESTful services, Setting up a Spring Boot project for REST, What's New in Spring Boot 3?</t>
  </si>
  <si>
    <t>Building a Simple REST Controller</t>
  </si>
  <si>
    <t>Creating a basic REST controller, Defining request mappings, Handling HTTP methods (GET, POST, PUT, DELETE), Returning JSON responses</t>
  </si>
  <si>
    <t>Request and Response Handling</t>
  </si>
  <si>
    <t>Handling path variables and query parameters, Request body and form data processing, Customizing response status and headers, Exception handling in REST controllers</t>
  </si>
  <si>
    <t>RESTful Resource Representation with DTOs</t>
  </si>
  <si>
    <t>Introduction to Data Transfer Objects (DTOs)
Mapping entities to DTOs, Customizing JSON serialization and deserialization, Managing versioning and backward compatibility</t>
  </si>
  <si>
    <t>RESTful CRUD Operations</t>
  </si>
  <si>
    <t>Implementing Create, Read, Update, and Delete operations, Utilizing HTTP methods for CRUD operations, Validating input data with annotations, Optimistic locking for concurrent updates</t>
  </si>
  <si>
    <t>RESTful HATEOAS</t>
  </si>
  <si>
    <t>Understanding HATEOAS (Hypermedia as the Engine of Application State), Adding links to resources, Building and consuming hypermedia-driven APIs</t>
  </si>
  <si>
    <t>Content Negotiation and Media Types</t>
  </si>
  <si>
    <t>Configuring content negotiation
Supporting different media types (JSON, XML), Using the Accept header for content negotiation, Producing and consuming custom media types</t>
  </si>
  <si>
    <t>Spring Boot Actuator for REST Monitoring</t>
  </si>
  <si>
    <t>Integrating Spring Boot Actuator, Monitoring and managing RESTful services, Exposing custom metrics, Securing and customizing Actuator endpoints</t>
  </si>
  <si>
    <t>Security and Authentication in RESTful APIs</t>
  </si>
  <si>
    <t>Securing RESTful endpoints with Spring Security, Implementing authentication and authorization, Token-based authentication (JWT), Handling Cross-Origin Resource Sharing (CORS)</t>
  </si>
  <si>
    <t>Testing RESTful APIs</t>
  </si>
  <si>
    <t>Unit testing REST controllers with JUnit and Mockito, Integration testing for REST services, Using Spring Test and MockMvc, Test coverage and best practices</t>
  </si>
  <si>
    <t>Documenting RESTful APIs</t>
  </si>
  <si>
    <t>Introduction to API documentation tools (Swagger, Springdoc), Documenting REST APIs with Swagger/OpenAPI, Generating API documentation, Best practices for API documentation</t>
  </si>
  <si>
    <t>Introduction to Microservices Architecture (MSA)</t>
  </si>
  <si>
    <t>Overview of monolithic vs. microservices architecture, Advantages and challenges of microservices, Characteristics of microservices, Use cases and scenarios suitable for microservices</t>
  </si>
  <si>
    <t>Spring Cloud for Microservices</t>
  </si>
  <si>
    <t>Introduction to Spring Cloud, Features and components of Spring Cloud, Configuring microservices with Spring Cloud, Service discovery and registration with Spring Cloud Netflix Eureka</t>
  </si>
  <si>
    <t>Spring Security for Microservices</t>
  </si>
  <si>
    <t>Overview of Spring Security, Securing microservices using Spring Security, Authentication and authorization in a microservices environment, Configuring security for RESTful APIs</t>
  </si>
  <si>
    <t>Centralized Authentication and Authorization</t>
  </si>
  <si>
    <t>Implementing centralized authentication with OAuth 2.1/OIDC, Configuring Authorization Servers and Resource Servers, Using JSON Web Tokens (JWT) for secure communication, Single Sign-On (SSO) in a microservices architecture</t>
  </si>
  <si>
    <t>Microservices Communication with Spring Cloud</t>
  </si>
  <si>
    <t>Inter-service communication patterns, Using Spring Cloud Feign for declarative REST clients, Service orchestration and choreography, Circuit Breaker pattern with Spring Cloud Circuit Breaker</t>
  </si>
  <si>
    <t>API Gateway and Edge Services</t>
  </si>
  <si>
    <t>Introduction to API Gateways, Configuring API Gateway with Spring Cloud Gateway, Implementing edge services for routing and filtering, Load balancing and resilience patterns in an API Gateway</t>
  </si>
  <si>
    <t>Fault Tolerance and Resilience</t>
  </si>
  <si>
    <t>Implementing fault tolerance with Spring Cloud Hystrix, Circuit Breaker and fallback mechanisms, Retrying and fallback strategies for resilience, Handling transient faults in microservices</t>
  </si>
  <si>
    <t>Spring Cloud Config</t>
  </si>
  <si>
    <t>Externalized configuration in microservices, Configuring microservices using Spring Cloud Config, Dynamic configuration updates and refresh, Managing configuration properties for different environments</t>
  </si>
  <si>
    <t>Monitoring and Metrics in Microservices</t>
  </si>
  <si>
    <t>Introduction to microservices monitoring, Using Spring Boot Actuator for monitoring endpoints, Integrating monitoring tools (Prometheus, Grafana), Application and system-level metrics in microservices</t>
  </si>
  <si>
    <t>Security Best Practices in Microservices</t>
  </si>
  <si>
    <t>Role-based access control (RBAC) in microservices, Securing communication between microservices, Securing sensitive data in microservices, Implementing security policies and practices</t>
  </si>
  <si>
    <t>Introduction to Docker</t>
  </si>
  <si>
    <t>Hosting App using nginx, using command line and Dockerfile</t>
  </si>
  <si>
    <t>nginx, pull, run, listing images, container name, detaching the process, port number, volumes, listing containers, listing non running containers, starting and stoping a container, Dockerfile, FROM, COPY, ENTRYPOINT, build, remove images and containers</t>
  </si>
  <si>
    <t>Hosting a MySQL database with schema creation using docker</t>
  </si>
  <si>
    <t>docker-compose.yml, docker-compose up command, mapping MySQL data file to local folder, schema creation script execution definition, defining port, password definition, docker compose up, executing mysql client on the mysql server container</t>
  </si>
  <si>
    <t>Hosting a REST API Microservice using docker</t>
  </si>
  <si>
    <t>Defining Dockerfile for REST API, building Dockerfile from docker-compose.yml, using depends_on in docker compose to define dependencies, using links to establish connectivity between REST API service and MySQL server, modify connection properties in REST API to connect to the docker instance</t>
  </si>
  <si>
    <t>Introduction to Cloud Computing</t>
  </si>
  <si>
    <t>Cloud Service Models</t>
  </si>
  <si>
    <t>Cloud Deployment Models</t>
  </si>
  <si>
    <t>Cloud Service Providers</t>
  </si>
  <si>
    <t>AWS, Azure, GCP</t>
  </si>
  <si>
    <t>Introduction to Node.js</t>
  </si>
  <si>
    <t>Overview of Node.js and its role in web development, Node.js architecture: Single-threaded, non-blocking I/O, Node.js Module System - Understanding modules and require(), Exporting and importing modules</t>
  </si>
  <si>
    <t>Core Node.js Modules</t>
  </si>
  <si>
    <t>Asynchronous Programming Basics</t>
  </si>
  <si>
    <t>Debugging Angular Applications with Chrome DevTools</t>
  </si>
  <si>
    <t>Setting Up the Environment, Launching the Application, Opening Chrome DevTools, Inspecting Elements, Debugging JavaScript, Debugging Angular Code</t>
  </si>
  <si>
    <t>Debugging with Visual Studio Code</t>
  </si>
  <si>
    <t>Installing Angular Extension, Attaching Visual Studio Code Debugger, Breakpoints and Watches, Debugging State Management</t>
  </si>
  <si>
    <t>Session Name</t>
  </si>
  <si>
    <t>Module</t>
  </si>
  <si>
    <t>Week 1</t>
  </si>
  <si>
    <t>Business communication</t>
  </si>
  <si>
    <t>Email Etiquette</t>
  </si>
  <si>
    <t>Cognorator - Verbal Communication</t>
  </si>
  <si>
    <t>Group Discussion</t>
  </si>
  <si>
    <t>Week 2</t>
  </si>
  <si>
    <t>Learning Agility</t>
  </si>
  <si>
    <t>Problem Solving and Critical Thinking</t>
  </si>
  <si>
    <t>Debate</t>
  </si>
  <si>
    <t>Week 3</t>
  </si>
  <si>
    <t>Conference call</t>
  </si>
  <si>
    <t>Basic English</t>
  </si>
  <si>
    <t>Tenses and SVA</t>
  </si>
  <si>
    <t>Week 4</t>
  </si>
  <si>
    <t>Story Telling</t>
  </si>
  <si>
    <t>Business Communication</t>
  </si>
  <si>
    <t>Email and Chat coaching</t>
  </si>
  <si>
    <t>Week 5 - Before Interim Evaluation</t>
  </si>
  <si>
    <t>Interview Clinic</t>
  </si>
  <si>
    <t>Interview Skills</t>
  </si>
  <si>
    <t>Mock Interview</t>
  </si>
  <si>
    <t>Week 5</t>
  </si>
  <si>
    <t>Coaching</t>
  </si>
  <si>
    <t>Article and basic grammar &amp; SVA, Parts of speech</t>
  </si>
  <si>
    <t>In a nutshell</t>
  </si>
  <si>
    <t>Week 7</t>
  </si>
  <si>
    <t>Conference call coahing</t>
  </si>
  <si>
    <t>week 8</t>
  </si>
  <si>
    <t>Presentation Skills</t>
  </si>
  <si>
    <t>Week 8 - Before Final Evaluation</t>
  </si>
  <si>
    <t>Client interfacing Skills</t>
  </si>
  <si>
    <t>Effective communication and Team work</t>
  </si>
  <si>
    <t>Project Simulation</t>
  </si>
  <si>
    <t>Client interfacing, stakeholder management etc</t>
  </si>
  <si>
    <t>Course/Assessment</t>
  </si>
  <si>
    <t>Coverage</t>
  </si>
  <si>
    <t>• The foundational knowledge and skills required to harness the power of Generative AI.
• The ability to identify opportunities for innovation and implementation of AI within their organizations.
• The skills to drive organizations toward a future of enhanced creativity and competitive advantage using AI techniques</t>
  </si>
  <si>
    <t>• This assessment is to assess the knowledge of associates on Generative AI tools and concepts at a Beginner proficiency.</t>
  </si>
  <si>
    <t xml:space="preserve">3. Outcome Expected </t>
  </si>
  <si>
    <t>Agile Sprints</t>
  </si>
  <si>
    <t>Traditional IT deployment, Virtualization, Service-Oriented Architecture, Cloud vs On-Prem data centres, Pros and Cons</t>
  </si>
  <si>
    <t>IaaS, PaaS, SaaS</t>
  </si>
  <si>
    <t>Public cloud model, Private cloud model, Hybrid cloud model, Community cloud model</t>
  </si>
  <si>
    <t>Advantages of Cloud Computing and various services provided by AWS</t>
  </si>
  <si>
    <t>Benefits of Cloud computing, Various services available in AWS like Compute, Storage, Database etc. EC2, S3, Elastic BeanStalk</t>
  </si>
  <si>
    <t>Introduction to AWS</t>
  </si>
  <si>
    <t>Overview of cloud computing, Introduction to AWS services, Creating an AWS account, AWS global infrastructure</t>
  </si>
  <si>
    <t>AWS Compute Services</t>
  </si>
  <si>
    <t>AWS Storage Services</t>
  </si>
  <si>
    <t>AWS Networking</t>
  </si>
  <si>
    <t>AWS Database Services</t>
  </si>
  <si>
    <t>Creating and querying tables</t>
  </si>
  <si>
    <t>AWS Identity and Access Management (IAM)</t>
  </si>
  <si>
    <t>Users, groups, and roles, Policies and permissions, MFA (Multi-Factor Authentication)</t>
  </si>
  <si>
    <t>AWS Serverless Computing</t>
  </si>
  <si>
    <t>Overview of DevOps, AWS Cloud Services, Infrastructure as Code (IaC), Continuous Integration (CI), Continuous Deployment (CD)</t>
  </si>
  <si>
    <t>AWS CodeCommit</t>
  </si>
  <si>
    <t>Introduction to AWS CodeCommit, Setting Up CodeCommit, Basic Version Control with CodeCommit, CodeCommit Workflows, Integration with AWS CodeBuild and CodePipeline</t>
  </si>
  <si>
    <t>AWS CodeBuild</t>
  </si>
  <si>
    <t>Introduction to AWS CodeBuild, Configuring CodeBuild Projects, Buildspec File, CodeBuild Artifacts, Customizing Build Environments</t>
  </si>
  <si>
    <t>AWS CodeDeploy</t>
  </si>
  <si>
    <t>Introduction to AWS CodeDeploy, Setting Up CodeDeploy, Deployment Hooks and AppSpec File, Rollbacks and Revisions, CodeDeploy Integrations</t>
  </si>
  <si>
    <t>AWS CodePipeline</t>
  </si>
  <si>
    <t>Introduction to AWS CodePipeline, Creating CodePipeline, Pipeline Execution and Artifacts, Pipeline Integrations, Pipeline Monitoring and Troubleshooting</t>
  </si>
  <si>
    <t>Introduction to AWS DevOps</t>
  </si>
  <si>
    <t>Code Quality Standards &amp; SonarQube</t>
  </si>
  <si>
    <t>Sprints</t>
  </si>
  <si>
    <t>Sprint 1</t>
  </si>
  <si>
    <t>Sprint 2</t>
  </si>
  <si>
    <t>Sprint 3</t>
  </si>
  <si>
    <t>ILT/VILT</t>
  </si>
  <si>
    <t>Gen AI Learning</t>
  </si>
  <si>
    <t>Cognizant Gen AI Platform</t>
  </si>
  <si>
    <t>Cognizant Flowsource 101 foundation program [101-BASICS] (ELRNG02089)</t>
  </si>
  <si>
    <t>• Overview of Responsible AI</t>
  </si>
  <si>
    <t>This course focuses on Cognizant's four key principles of Responsible AI:
• Fair and Inclusive
• Accountable
• Safe, Secure, and Privacy-Enhanced
• Transparent and Explainable</t>
  </si>
  <si>
    <t>Video Interview</t>
  </si>
  <si>
    <t>Online Test</t>
  </si>
  <si>
    <t>HackerRank Mock &amp; Final Assessment</t>
  </si>
  <si>
    <t>Sprint wise -Total Duration (Hrs)</t>
  </si>
  <si>
    <t>Sprint wise -Total Duration (Wks)</t>
  </si>
  <si>
    <t>GIT Basics</t>
  </si>
  <si>
    <t>Data Structures and Algorithms</t>
  </si>
  <si>
    <t>Design Patterns and Principles</t>
  </si>
  <si>
    <t>ANSI SQL with MySQL</t>
  </si>
  <si>
    <t>Node.js Fundamentals</t>
  </si>
  <si>
    <t>Hands-On</t>
  </si>
  <si>
    <t>Cloud and DevOps using AWS</t>
  </si>
  <si>
    <t>Relational Databases &amp; SQL</t>
  </si>
  <si>
    <t>Programming Language (Java)</t>
  </si>
  <si>
    <t>Software Development Methodology</t>
  </si>
  <si>
    <t>Version Control</t>
  </si>
  <si>
    <t>Programming Fundamentals &amp; Problem Solving</t>
  </si>
  <si>
    <t>Software Architecture &amp; Design</t>
  </si>
  <si>
    <t>Backend Framework &amp; Build Tools</t>
  </si>
  <si>
    <t>ORM &amp; Data Persistence</t>
  </si>
  <si>
    <t>RESTful API Development</t>
  </si>
  <si>
    <t>Microservices Architecture</t>
  </si>
  <si>
    <t>Debugging &amp; Troubleshooting</t>
  </si>
  <si>
    <t>Logging &amp; Code Simplification</t>
  </si>
  <si>
    <t>Software Engineering Best Practices</t>
  </si>
  <si>
    <t>Code Quality &amp; Static Analysis</t>
  </si>
  <si>
    <t>Front-End Development</t>
  </si>
  <si>
    <t>Front-End Framework (SPA)</t>
  </si>
  <si>
    <t>Testing &amp; Test-Driven Development</t>
  </si>
  <si>
    <t>Containerization</t>
  </si>
  <si>
    <t>Cloud &amp; DevOps</t>
  </si>
  <si>
    <t>Project Management &amp; Agile Tools</t>
  </si>
  <si>
    <t>Jira Basics</t>
  </si>
  <si>
    <t>Sprint 0</t>
  </si>
  <si>
    <t>Bootstrap 5</t>
  </si>
  <si>
    <t>Front-End Toolkit</t>
  </si>
  <si>
    <t>JavaScript Runtime Environment</t>
  </si>
  <si>
    <t>Evaluation</t>
  </si>
  <si>
    <t>Gen AI - Code Companion Tools</t>
  </si>
  <si>
    <t>GitHub Copilot</t>
  </si>
  <si>
    <t>HTML5, CSS3, JavaScript</t>
  </si>
  <si>
    <r>
      <t xml:space="preserve">To be eligible for deployment to the business, a candidate must achieve a </t>
    </r>
    <r>
      <rPr>
        <b/>
        <sz val="11"/>
        <color rgb="FF000000"/>
        <rFont val="Arial"/>
        <family val="2"/>
      </rPr>
      <t>Performance Health Status (PHS) of Green in the Final Evaluation.</t>
    </r>
  </si>
  <si>
    <t>• Design and implement RESTful APIs using Spring Boot 3 and Spring Web.
• Apply best practices for request handling, validation, and exception management.
• Integrate REST APIs with frontend or external services using JSON and HTTP clients.
• Diagnose and resolve runtime issues in Java backend applications using debugging tools.
• Analyze logs and stack traces to identify root causes of errors.
• Apply structured debugging techniques to improve code reliability and maintainability.
• Apply Test-Driven Development (TDD) principles to write unit tests before implementation.
• Write effective unit tests for Java classes and methods using JUnit 5.
• Mock dependencies and isolate units using Mockito.
• Implement consistent and configurable logging using SLF4J with Logback or Log4j.
• Simplify Java code using Lombok annotations for boilerplate reduction.
• Integrate SLF4J and Lombok in Spring Boot applications for maintainable and readable code.</t>
  </si>
  <si>
    <t>• Design and implement microservices using Spring Boot 3 with modular, scalable, and independently deployable • components.
• Configure service discovery, centralized configuration, and fault tolerance using Spring Cloud components.
• Enable inter-service communication using REST APIs and message brokers.
• Explain the role of containerization in modern application development and deployment.
• Build, run, and manage Docker containers for Java applications.
• Integrate Docker into the development lifecycle for consistent and portable environments.</t>
  </si>
  <si>
    <t>• Apply industry-standard coding practices to improve readability, maintainability, and scalability of Java applications.
• Use static analysis tools and linters to enforce code quality rules.
• Refactor code to eliminate duplication, reduce complexity, and improve performance.
• Explain the role of SonarQube in continuous code quality monitoring and technical debt management.
• Integrate SonarQube into CI/CD pipelines for automated static code analysis.
• Interpret SonarQube dashboards and apply recommended fixes to improve code health.
• Explain the fundamentals of cloud computing and DevOps practices using AWS services.
• Deploy Java applications to AWS using services like EC2, S3, RDS, and Elastic Beanstalk.
• Implement CI/CD pipelines using AWS CodePipeline, CodeBuild, and CodeDeploy.</t>
  </si>
  <si>
    <t>Introduction to Bootstrap 5</t>
  </si>
  <si>
    <t>Overview of Bootstrap Framework, Setting Up Bootstrap 5, Bootstrap Structure and Files</t>
  </si>
  <si>
    <t>Bootstrap Grid System</t>
  </si>
  <si>
    <t>Fundamentals of Responsive Grid Layout, Column Layouts and Grid Classes, Alignment and Reordering in Grid, Responsive Flexbox Utilities</t>
  </si>
  <si>
    <t>Bootstrap Components</t>
  </si>
  <si>
    <t>Typography, Forms, Buttons, Navbars and Navigation, Cards and Media Objects</t>
  </si>
  <si>
    <t>Bootstrap Utilities and Helpers</t>
  </si>
  <si>
    <t>Spacing Utilities, Colors and Backgrounds, Display and Visibility, Borders, Shadows, and Rounded Corners, Positioning Utilities</t>
  </si>
  <si>
    <t>Advanced Bootstrap 5 Features</t>
  </si>
  <si>
    <t>Icons with Bootstrap Icons, Bootstrap 5 JavaScript Plugins, Customization with Sass</t>
  </si>
  <si>
    <r>
      <t xml:space="preserve">Container Introduction, Container architecture, Overview of Docker, </t>
    </r>
    <r>
      <rPr>
        <b/>
        <sz val="11"/>
        <color rgb="FF000000"/>
        <rFont val="Arial"/>
        <family val="2"/>
      </rPr>
      <t>Docker architecture -</t>
    </r>
    <r>
      <rPr>
        <sz val="11"/>
        <color rgb="FF000000"/>
        <rFont val="Arial"/>
        <family val="2"/>
      </rPr>
      <t xml:space="preserve"> Docker file, Working with containers, Container Communication, Docker Compose, open source; create, deploy and run applications in containers, package application, virtual machine, image, container</t>
    </r>
  </si>
  <si>
    <t>Awareness</t>
  </si>
  <si>
    <t>Introduction to Jira</t>
  </si>
  <si>
    <r>
      <t xml:space="preserve">What is Jira and its role in Agile project management, </t>
    </r>
    <r>
      <rPr>
        <b/>
        <sz val="11"/>
        <rFont val="Arial"/>
        <family val="2"/>
      </rPr>
      <t>Jira products overview</t>
    </r>
    <r>
      <rPr>
        <sz val="11"/>
        <rFont val="Arial"/>
        <family val="2"/>
      </rPr>
      <t xml:space="preserve">: Jira Software, Jira Service Management, Jira Work Management, </t>
    </r>
    <r>
      <rPr>
        <b/>
        <sz val="11"/>
        <rFont val="Arial"/>
        <family val="2"/>
      </rPr>
      <t>Key terminology</t>
    </r>
    <r>
      <rPr>
        <sz val="11"/>
        <rFont val="Arial"/>
        <family val="2"/>
      </rPr>
      <t>: issues, projects, boards, workflows</t>
    </r>
  </si>
  <si>
    <t>Navigating the Jira Interface</t>
  </si>
  <si>
    <t>Dashboard overview, Project and board navigation, Filters and search functionality</t>
  </si>
  <si>
    <t>Working with Issues</t>
  </si>
  <si>
    <t>Creating and editing issues (Story, Task, Bug, Epic), Issue types and hierarchy, Assigning, prioritizing, and tracking issues, Adding comments, attachments, and watchers</t>
  </si>
  <si>
    <t>Boards and Agile Views</t>
  </si>
  <si>
    <t>Scrum vs Kanban boards, Backlog management, Sprint planning and execution, Using swimlanes and filters</t>
  </si>
  <si>
    <t>Workflow and Status Management</t>
  </si>
  <si>
    <t>Understanding workflows and transitions, Customizing issue statuses, Using labels, components, and versions</t>
  </si>
  <si>
    <t>Reporting and Dashboards</t>
  </si>
  <si>
    <r>
      <rPr>
        <b/>
        <sz val="11"/>
        <rFont val="Arial"/>
        <family val="2"/>
      </rPr>
      <t>Built-in reports</t>
    </r>
    <r>
      <rPr>
        <sz val="11"/>
        <rFont val="Arial"/>
        <family val="2"/>
      </rPr>
      <t>: Burndown, Velocity, Cumulative Flow, 
Creating and customizing dashboards, Using gadgets for team visibility</t>
    </r>
  </si>
  <si>
    <r>
      <rPr>
        <b/>
        <sz val="11"/>
        <color rgb="FF000000"/>
        <rFont val="Arial"/>
        <family val="2"/>
      </rPr>
      <t>Version Control Concepts</t>
    </r>
    <r>
      <rPr>
        <sz val="11"/>
        <color rgb="FF000000"/>
        <rFont val="Arial"/>
        <family val="2"/>
      </rPr>
      <t>-Definition and Purpose, Benefits of Version Control, Types of Version Control Systems</t>
    </r>
  </si>
  <si>
    <r>
      <rPr>
        <b/>
        <sz val="11"/>
        <color rgb="FF000000"/>
        <rFont val="Arial"/>
        <family val="2"/>
      </rPr>
      <t>What is Git</t>
    </r>
    <r>
      <rPr>
        <sz val="11"/>
        <color rgb="FF000000"/>
        <rFont val="Arial"/>
        <family val="2"/>
      </rPr>
      <t xml:space="preserve">-Introduction to Git, Git as a Distributed Version Control System (DVCS); </t>
    </r>
    <r>
      <rPr>
        <b/>
        <sz val="11"/>
        <color rgb="FF000000"/>
        <rFont val="Arial"/>
        <family val="2"/>
      </rPr>
      <t>Git Components</t>
    </r>
    <r>
      <rPr>
        <sz val="11"/>
        <color rgb="FF000000"/>
        <rFont val="Arial"/>
        <family val="2"/>
      </rPr>
      <t>-Working Directory, Staging Area, Repository</t>
    </r>
  </si>
  <si>
    <r>
      <rPr>
        <b/>
        <sz val="11"/>
        <color rgb="FF000000"/>
        <rFont val="Arial"/>
        <family val="2"/>
      </rPr>
      <t>Installing Git</t>
    </r>
    <r>
      <rPr>
        <sz val="11"/>
        <color rgb="FF000000"/>
        <rFont val="Arial"/>
        <family val="2"/>
      </rPr>
      <t xml:space="preserve">-Download and Installation Steps, Configuring Basic Settings (username, email); </t>
    </r>
    <r>
      <rPr>
        <b/>
        <sz val="11"/>
        <color rgb="FF000000"/>
        <rFont val="Arial"/>
        <family val="2"/>
      </rPr>
      <t>Creating a Git Repository</t>
    </r>
    <r>
      <rPr>
        <sz val="11"/>
        <color rgb="FF000000"/>
        <rFont val="Arial"/>
        <family val="2"/>
      </rPr>
      <t xml:space="preserve">-Initializing a New Repository, Cloning an Existing Repository; </t>
    </r>
  </si>
  <si>
    <r>
      <rPr>
        <b/>
        <sz val="11"/>
        <color rgb="FF000000"/>
        <rFont val="Arial"/>
        <family val="2"/>
      </rPr>
      <t xml:space="preserve">git init and git clone </t>
    </r>
    <r>
      <rPr>
        <sz val="11"/>
        <color rgb="FF000000"/>
        <rFont val="Arial"/>
        <family val="2"/>
      </rPr>
      <t xml:space="preserve">- Initializing a New Repository, Cloning an Existing Repository; </t>
    </r>
    <r>
      <rPr>
        <b/>
        <sz val="11"/>
        <color rgb="FF000000"/>
        <rFont val="Arial"/>
        <family val="2"/>
      </rPr>
      <t>git add</t>
    </r>
    <r>
      <rPr>
        <sz val="11"/>
        <color rgb="FF000000"/>
        <rFont val="Arial"/>
        <family val="2"/>
      </rPr>
      <t xml:space="preserve">-Staging Changes, Using Wildcards; </t>
    </r>
    <r>
      <rPr>
        <b/>
        <sz val="11"/>
        <color rgb="FF000000"/>
        <rFont val="Arial"/>
        <family val="2"/>
      </rPr>
      <t>git commit</t>
    </r>
    <r>
      <rPr>
        <sz val="11"/>
        <color rgb="FF000000"/>
        <rFont val="Arial"/>
        <family val="2"/>
      </rPr>
      <t xml:space="preserve">-Committing Changes, Adding Commit Messages; </t>
    </r>
    <r>
      <rPr>
        <b/>
        <sz val="11"/>
        <color rgb="FF000000"/>
        <rFont val="Arial"/>
        <family val="2"/>
      </rPr>
      <t>git status</t>
    </r>
    <r>
      <rPr>
        <sz val="11"/>
        <color rgb="FF000000"/>
        <rFont val="Arial"/>
        <family val="2"/>
      </rPr>
      <t xml:space="preserve">-Checking the Status of Your Repository; </t>
    </r>
    <r>
      <rPr>
        <b/>
        <sz val="11"/>
        <color rgb="FF000000"/>
        <rFont val="Arial"/>
        <family val="2"/>
      </rPr>
      <t>git log</t>
    </r>
    <r>
      <rPr>
        <sz val="11"/>
        <color rgb="FF000000"/>
        <rFont val="Arial"/>
        <family val="2"/>
      </rPr>
      <t>-Viewing Commit History, Options for Customizing Log Output;</t>
    </r>
  </si>
  <si>
    <r>
      <rPr>
        <b/>
        <sz val="11"/>
        <color rgb="FF000000"/>
        <rFont val="Arial"/>
        <family val="2"/>
      </rPr>
      <t>Introduction to Branching</t>
    </r>
    <r>
      <rPr>
        <sz val="11"/>
        <color rgb="FF000000"/>
        <rFont val="Arial"/>
        <family val="2"/>
      </rPr>
      <t xml:space="preserve">-Creating and Managing Branches, Switching Between Branches; </t>
    </r>
    <r>
      <rPr>
        <b/>
        <sz val="11"/>
        <color rgb="FF000000"/>
        <rFont val="Arial"/>
        <family val="2"/>
      </rPr>
      <t>Merging Changes</t>
    </r>
    <r>
      <rPr>
        <sz val="11"/>
        <color rgb="FF000000"/>
        <rFont val="Arial"/>
        <family val="2"/>
      </rPr>
      <t xml:space="preserve">-Merging Branches, Handling Merge Conflicts; </t>
    </r>
    <r>
      <rPr>
        <b/>
        <sz val="11"/>
        <color rgb="FF000000"/>
        <rFont val="Arial"/>
        <family val="2"/>
      </rPr>
      <t>Branching Strategies</t>
    </r>
    <r>
      <rPr>
        <sz val="11"/>
        <color rgb="FF000000"/>
        <rFont val="Arial"/>
        <family val="2"/>
      </rPr>
      <t>-Feature Branching, Release Branching, Git Flow Workflow;</t>
    </r>
  </si>
  <si>
    <r>
      <rPr>
        <b/>
        <sz val="11"/>
        <color rgb="FF000000"/>
        <rFont val="Arial"/>
        <family val="2"/>
      </rPr>
      <t>Adding Remote Repositories</t>
    </r>
    <r>
      <rPr>
        <sz val="11"/>
        <color rgb="FF000000"/>
        <rFont val="Arial"/>
        <family val="2"/>
      </rPr>
      <t xml:space="preserve">-Linking Local and Remote Repositories, Multiple Remotes; </t>
    </r>
    <r>
      <rPr>
        <b/>
        <sz val="11"/>
        <color rgb="FF000000"/>
        <rFont val="Arial"/>
        <family val="2"/>
      </rPr>
      <t>git pull and git push</t>
    </r>
    <r>
      <rPr>
        <sz val="11"/>
        <color rgb="FF000000"/>
        <rFont val="Arial"/>
        <family val="2"/>
      </rPr>
      <t xml:space="preserve">-Pulling Changes from a Remote Repository, Pushing Changes to a Remote Repository; </t>
    </r>
    <r>
      <rPr>
        <b/>
        <sz val="11"/>
        <color rgb="FF000000"/>
        <rFont val="Arial"/>
        <family val="2"/>
      </rPr>
      <t>Handling Remote Branches</t>
    </r>
    <r>
      <rPr>
        <sz val="11"/>
        <color rgb="FF000000"/>
        <rFont val="Arial"/>
        <family val="2"/>
      </rPr>
      <t>-Tracking and Creating Remote Branches;</t>
    </r>
  </si>
  <si>
    <r>
      <rPr>
        <b/>
        <sz val="11"/>
        <color rgb="FF000000"/>
        <rFont val="Arial"/>
        <family val="2"/>
      </rPr>
      <t>Forking and Pull Requests</t>
    </r>
    <r>
      <rPr>
        <sz val="11"/>
        <color rgb="FF000000"/>
        <rFont val="Arial"/>
        <family val="2"/>
      </rPr>
      <t xml:space="preserve">-Forking a Repository, Creating and Managing Pull Requests; </t>
    </r>
    <r>
      <rPr>
        <b/>
        <sz val="11"/>
        <color rgb="FF000000"/>
        <rFont val="Arial"/>
        <family val="2"/>
      </rPr>
      <t>Git Collaboration Workflows</t>
    </r>
    <r>
      <rPr>
        <sz val="11"/>
        <color rgb="FF000000"/>
        <rFont val="Arial"/>
        <family val="2"/>
      </rPr>
      <t>-Centralized Workflow, Feature Branch Workflow, Forking Workflow, Gitflow Workflow</t>
    </r>
  </si>
  <si>
    <r>
      <rPr>
        <b/>
        <sz val="11"/>
        <rFont val="Arial"/>
        <family val="2"/>
      </rPr>
      <t>Clean as you code</t>
    </r>
    <r>
      <rPr>
        <sz val="11"/>
        <rFont val="Arial"/>
        <family val="2"/>
      </rPr>
      <t xml:space="preserve"> - SONAR Intro, benefits
</t>
    </r>
    <r>
      <rPr>
        <b/>
        <sz val="11"/>
        <rFont val="Arial"/>
        <family val="2"/>
      </rPr>
      <t>Using SonarQube with Maven</t>
    </r>
    <r>
      <rPr>
        <sz val="11"/>
        <rFont val="Arial"/>
        <family val="2"/>
      </rPr>
      <t xml:space="preserve"> - Update connect URLs, Proxies in POM, </t>
    </r>
    <r>
      <rPr>
        <b/>
        <sz val="11"/>
        <rFont val="Arial"/>
        <family val="2"/>
      </rPr>
      <t>Sonar architecture</t>
    </r>
    <r>
      <rPr>
        <sz val="11"/>
        <rFont val="Arial"/>
        <family val="2"/>
      </rPr>
      <t xml:space="preserve"> - how it works? SonarQube client and Server, Sonar Database
Running Maven Sonar Goals for Static Code Analysis
</t>
    </r>
    <r>
      <rPr>
        <b/>
        <sz val="11"/>
        <rFont val="Arial"/>
        <family val="2"/>
      </rPr>
      <t>Use SonarQube to find the following:</t>
    </r>
    <r>
      <rPr>
        <sz val="11"/>
        <rFont val="Arial"/>
        <family val="2"/>
      </rPr>
      <t xml:space="preserve">
Finding Duplicate Code, Cyclomatic Complexity, Sphagetti Design, Lack of Unit Tests, Improper Coding Standards, Potential Bugs, Insufficient Comments,Interpreting Sonar Logs</t>
    </r>
  </si>
  <si>
    <r>
      <t>Amazon EC2</t>
    </r>
    <r>
      <rPr>
        <sz val="11"/>
        <color rgb="FF000000"/>
        <rFont val="Arial"/>
        <family val="2"/>
      </rPr>
      <t xml:space="preserve">-Launching and configuring instances, AMIs (Amazon Machine Images), Security groups and key pairs; </t>
    </r>
    <r>
      <rPr>
        <b/>
        <sz val="11"/>
        <color rgb="FF000000"/>
        <rFont val="Arial"/>
        <family val="2"/>
      </rPr>
      <t>Amazon ECS</t>
    </r>
    <r>
      <rPr>
        <sz val="11"/>
        <color rgb="FF000000"/>
        <rFont val="Arial"/>
        <family val="2"/>
      </rPr>
      <t>-Docker and container basics, Creating and managing containers</t>
    </r>
  </si>
  <si>
    <r>
      <t>Amazon S3</t>
    </r>
    <r>
      <rPr>
        <sz val="11"/>
        <color rgb="FF000000"/>
        <rFont val="Arial"/>
        <family val="2"/>
      </rPr>
      <t>-Bucket creation and configuration, Uploading and downloading objects, S3 storage classes;</t>
    </r>
  </si>
  <si>
    <r>
      <t>Amazon EBS</t>
    </r>
    <r>
      <rPr>
        <sz val="11"/>
        <color rgb="FF000000"/>
        <rFont val="Arial"/>
        <family val="2"/>
      </rPr>
      <t>-Creating and attaching volumes, Snapshotting and backup</t>
    </r>
  </si>
  <si>
    <r>
      <t>Amazon VPC</t>
    </r>
    <r>
      <rPr>
        <sz val="11"/>
        <color rgb="FF000000"/>
        <rFont val="Arial"/>
        <family val="2"/>
      </rPr>
      <t xml:space="preserve">-Subnets, route tables, and security groups, VPC peering; </t>
    </r>
    <r>
      <rPr>
        <b/>
        <sz val="11"/>
        <color rgb="FF000000"/>
        <rFont val="Arial"/>
        <family val="2"/>
      </rPr>
      <t>Elastic Load Balancer</t>
    </r>
    <r>
      <rPr>
        <sz val="11"/>
        <color rgb="FF000000"/>
        <rFont val="Arial"/>
        <family val="2"/>
      </rPr>
      <t>-Application Load Balancer (ALB) and Network Load Balancer (NLB)</t>
    </r>
  </si>
  <si>
    <r>
      <t>Amazon RDS</t>
    </r>
    <r>
      <rPr>
        <sz val="11"/>
        <color rgb="FF000000"/>
        <rFont val="Arial"/>
        <family val="2"/>
      </rPr>
      <t>-Creating and managing database instances, Multi-AZ deployments;</t>
    </r>
  </si>
  <si>
    <r>
      <t>Amazon DynamoDB</t>
    </r>
    <r>
      <rPr>
        <sz val="11"/>
        <color rgb="FF000000"/>
        <rFont val="Arial"/>
        <family val="2"/>
      </rPr>
      <t>-NoSQL basics</t>
    </r>
  </si>
  <si>
    <r>
      <t>AWS Lambda</t>
    </r>
    <r>
      <rPr>
        <sz val="11"/>
        <color rgb="FF000000"/>
        <rFont val="Arial"/>
        <family val="2"/>
      </rPr>
      <t xml:space="preserve">-Creating and deploying functions, Integrating with other AWS services; </t>
    </r>
    <r>
      <rPr>
        <b/>
        <sz val="11"/>
        <color rgb="FF000000"/>
        <rFont val="Arial"/>
        <family val="2"/>
      </rPr>
      <t>AWS API Gateway</t>
    </r>
    <r>
      <rPr>
        <sz val="11"/>
        <color rgb="FF000000"/>
        <rFont val="Arial"/>
        <family val="2"/>
      </rPr>
      <t>-Creating and managing APIs</t>
    </r>
  </si>
  <si>
    <r>
      <t xml:space="preserve">Fundamentals of Generative AI [101-Basics]
Activity Code: </t>
    </r>
    <r>
      <rPr>
        <b/>
        <sz val="11"/>
        <color theme="1"/>
        <rFont val="Arial"/>
        <family val="2"/>
      </rPr>
      <t>ELRNG01863</t>
    </r>
  </si>
  <si>
    <r>
      <t xml:space="preserve">GENERATIVE AI QUICK ASSESSMENT FOR ELEARNING QUIZ [101-BASICS]
Activity Code: </t>
    </r>
    <r>
      <rPr>
        <b/>
        <sz val="11"/>
        <color theme="1"/>
        <rFont val="Arial"/>
        <family val="2"/>
      </rPr>
      <t>ATHDW335105</t>
    </r>
  </si>
  <si>
    <r>
      <t xml:space="preserve">Introduction to Responsible AI
Activity Code: </t>
    </r>
    <r>
      <rPr>
        <b/>
        <sz val="11"/>
        <color theme="1"/>
        <rFont val="Arial"/>
        <family val="2"/>
      </rPr>
      <t>CGZ-914en</t>
    </r>
  </si>
  <si>
    <r>
      <t xml:space="preserve">Responsible AI-Deep Dive [101- BASICS]
Activity Code: </t>
    </r>
    <r>
      <rPr>
        <b/>
        <sz val="11"/>
        <color theme="1"/>
        <rFont val="Arial"/>
        <family val="2"/>
      </rPr>
      <t>ELRNG02344</t>
    </r>
  </si>
  <si>
    <t>Topic</t>
  </si>
  <si>
    <t>Key Coverage / Outcome</t>
  </si>
  <si>
    <t>Prompt Engineering</t>
  </si>
  <si>
    <t>Prompting techniques, best practices, ethics, hands-on lab</t>
  </si>
  <si>
    <t>Introduction to GitHub Copilot</t>
  </si>
  <si>
    <t>Overview of GitHub Copilot features</t>
  </si>
  <si>
    <t>Setup and Configuration</t>
  </si>
  <si>
    <t>Beginner-friendly coding with Copilot</t>
  </si>
  <si>
    <t>Core Features and Capabilities</t>
  </si>
  <si>
    <t>• Code suggestions and completions</t>
  </si>
  <si>
    <t>• Writing functions and boilerplate code</t>
  </si>
  <si>
    <t>• Generating comments and documentation</t>
  </si>
  <si>
    <t>• Refactoring and optimizing code</t>
  </si>
  <si>
    <t>• Creating test cases</t>
  </si>
  <si>
    <t>Security and Ethical Considerations</t>
  </si>
  <si>
    <t>• Understanding AI-generated code risks</t>
  </si>
  <si>
    <t>• Licensing and attribution concerns</t>
  </si>
  <si>
    <t>• Data privacy and usage policies</t>
  </si>
  <si>
    <t>• Responsible use of Copilot</t>
  </si>
  <si>
    <t>Best Practices</t>
  </si>
  <si>
    <t>• Reviewing AI-generated code</t>
  </si>
  <si>
    <t>• Combining Copilot with manual coding</t>
  </si>
  <si>
    <t>• Using Copilot for learning new languages</t>
  </si>
  <si>
    <t>• Avoiding over-reliance</t>
  </si>
  <si>
    <t>Introduction</t>
  </si>
  <si>
    <t>Need and Benefits of HTML, Setup, Browser, BOM and DOM, DOCTYPE, Character Encoding, &lt;script&gt; , &lt;link&gt;, , HTML5 Document, Comments</t>
  </si>
  <si>
    <t>Getting Started</t>
  </si>
  <si>
    <t>Visual Studio Code features, Google Chrome Developer tools, Inspect document</t>
  </si>
  <si>
    <t>Elements &amp; Attributes</t>
  </si>
  <si>
    <t>Formatting Tags, List, Table, Form &amp; Input Tags, Images, Styles, placeholder, inline and block elements, id vs class attributes</t>
  </si>
  <si>
    <t>Navigation</t>
  </si>
  <si>
    <t>Navigation tags, hyper link, reference to intermediate section</t>
  </si>
  <si>
    <t>Events</t>
  </si>
  <si>
    <t>onblur, onchange, onclick, form related events, load events, key events, mouse events, ondblclick, onbeforeonload, oncanplay</t>
  </si>
  <si>
    <t>Web Forms 2.0</t>
  </si>
  <si>
    <t>&lt;input&gt; element in HTML5,  &lt;output&gt;, placeholder attribute, autofocus, required</t>
  </si>
  <si>
    <t>Web Storage</t>
  </si>
  <si>
    <t>Session storage, local storage and Delete web storage</t>
  </si>
  <si>
    <t>Web SQL Database</t>
  </si>
  <si>
    <t>openDatabase, transaction, transaction</t>
  </si>
  <si>
    <t>Geo location</t>
  </si>
  <si>
    <t>Geolocation Methods, Location Properties, Handling Errors, Position Options</t>
  </si>
  <si>
    <t>Need and Benefits of CSS, Setup, CSS Syntax, CSS Comments, Including CSS in HTML Documents(Inline styles, Embedded styles, External style sheets)</t>
  </si>
  <si>
    <t>Selectors</t>
  </si>
  <si>
    <t>CSS3 Selectors - Universal Selector, Element Type Selector, Id Selectors, Class Selectors, Grouping Selectors</t>
  </si>
  <si>
    <t>Styling</t>
  </si>
  <si>
    <t>CSS Color, CSS Background, CSS Fonts, CSS Text, CSS Links, CSS Lists, CSS Tables</t>
  </si>
  <si>
    <t>Box Model</t>
  </si>
  <si>
    <t>CSS Box Model, Margin, padding, border, Outline, Visibility vs. Display, Multiple Columns</t>
  </si>
  <si>
    <t>Advanced</t>
  </si>
  <si>
    <t>Media Queries, RWD</t>
  </si>
  <si>
    <t>Introduction to JavaScript</t>
  </si>
  <si>
    <t>What is JavaScript?, Setting Up JavaScript Development Environment</t>
  </si>
  <si>
    <t>JavaScript Basics</t>
  </si>
  <si>
    <t>Syntax and Statements, Data Types, Operators</t>
  </si>
  <si>
    <t>Control Flow</t>
  </si>
  <si>
    <t>Conditional Statements, Loops, Error Handling</t>
  </si>
  <si>
    <t xml:space="preserve">Functions and Scope </t>
  </si>
  <si>
    <t>Function Basics, Scope and Closures, Higher-Order Functions</t>
  </si>
  <si>
    <t xml:space="preserve">Objects and the Document Object Model (DOM) </t>
  </si>
  <si>
    <t>Objects in JavaScript, JavaScript Prototypes, The DOM, Event Handling</t>
  </si>
  <si>
    <t>Arrays and Array Methods</t>
  </si>
  <si>
    <t>Array Basics, Array Methods</t>
  </si>
  <si>
    <t>Asynchronous JavaScript</t>
  </si>
  <si>
    <t>Understanding Asynchronous Programming, Callbacks and Callback Hell, Promises, Async/Await Syntax</t>
  </si>
  <si>
    <t>JavaScript ES6+ Features</t>
  </si>
  <si>
    <t>Let and Const, Template Literals, Destructuring, Rest and Spread Operators, Modules, Default Parameters</t>
  </si>
  <si>
    <t>JavaScript in Web Development</t>
  </si>
  <si>
    <t>Working with Forms, AJAX and Fetch API</t>
  </si>
  <si>
    <t>Debugging and Testing JavaScript</t>
  </si>
  <si>
    <t>Debugging Tools, Testing JavaScript Code</t>
  </si>
  <si>
    <t>Introduction to JavaScript Frameworks and Libraries</t>
  </si>
  <si>
    <t>Overview of Popular JavaScript Frameworks, Using jQuery for DOM Manipulation</t>
  </si>
  <si>
    <t>Introduction to ANSI SQL and MySQL</t>
  </si>
  <si>
    <t>Overview of ANSI SQL, Introduction to MySQL, Importance of Standard SQL</t>
  </si>
  <si>
    <t>Data Retrieval with SELECT Statement</t>
  </si>
  <si>
    <t>Basic SELECT syntax, Retrieving specific columns, Filtering data with WHERE clause, Sorting results with ORDER BY</t>
  </si>
  <si>
    <t>Filtering and Sorting Data</t>
  </si>
  <si>
    <t>Using logical operators in WHERE clause, Combining conditions with AND, OR, Sorting data using multiple columns</t>
  </si>
  <si>
    <t>Aggregate Functions and Grouping</t>
  </si>
  <si>
    <t>Introduction to aggregate functions (SUM, AVG, COUNT, etc.), GROUP BY clause for grouping results, HAVING clause for filtering grouped data</t>
  </si>
  <si>
    <t>Joins and Subqueries</t>
  </si>
  <si>
    <t>INNER JOIN, LEFT JOIN, RIGHT JOIN, Self-joins and cross joins, Subqueries in SELECT, WHERE, and FROM clauses, Correlated Subqueries</t>
  </si>
  <si>
    <t>Data Modification with INSERT, UPDATE, DELETE</t>
  </si>
  <si>
    <t>Inserting data into tables, Updating existing records, Deleting records from tables</t>
  </si>
  <si>
    <t>Creating and Modifying Tables</t>
  </si>
  <si>
    <t>Creating tables with CREATE TABLE, Modifying table structure with ALTER TABLE, Deleting tables with DROP TABLE</t>
  </si>
  <si>
    <t>Indexes and Constraints</t>
  </si>
  <si>
    <t>Creating indexes for better query performance, Defining primary and foreign key constraints, Ensuring data integrity with UNIQUE and CHECK constraints</t>
  </si>
  <si>
    <t>Introduction to Java</t>
  </si>
  <si>
    <t>Overview of Java Platform and Editions, Installation and Setup of Java Development Environment (JDK 17), Introduction to Java Development Kit (JDK), Java Runtime Environment (JRE), and JVM, Writing, Compiling, and Running Java Programs</t>
  </si>
  <si>
    <t>Basics of Java Programming</t>
  </si>
  <si>
    <t>Data Types and Variables, Operators, Control Statements</t>
  </si>
  <si>
    <t>Object-Oriented Programming in Java</t>
  </si>
  <si>
    <t>Classes and Objects, Encapsulation, Inheritance, Polymorphism, Abstraction and Interfaces</t>
  </si>
  <si>
    <t xml:space="preserve">Exception Handling </t>
  </si>
  <si>
    <t>Introduction to Exceptions, Handling Exceptions, Custom Exceptions</t>
  </si>
  <si>
    <t>Java Collections Framework</t>
  </si>
  <si>
    <t>Introduction to Collections, List Interface and Implementations, Set Interface and Implementations, Map Interface and Implementations, Queue Interface and Implementations, Stream API</t>
  </si>
  <si>
    <t xml:space="preserve">Functional Programming in Java </t>
  </si>
  <si>
    <t>Lambda Expressions, Functional Interfaces, Method References, Optional Class, Streams and Parallel Streams</t>
  </si>
  <si>
    <t>Java I/O and File Handling</t>
  </si>
  <si>
    <t>Java I/O Streams, File Handling with java.nio.file Package, Serialization and Deserialization</t>
  </si>
  <si>
    <t>Multithreading and Concurrency</t>
  </si>
  <si>
    <t>Introduction to Multithreading, Thread Lifecycle and Thread Control, Synchronization, Concurrency Utilities (java.util.concurrent package)</t>
  </si>
  <si>
    <t>Application Debugging Using IntelliJ IDEA</t>
  </si>
  <si>
    <t>What is Debugging?, Importance of Debugging, Overview of Debugging Tools, Setting Up IntelliJ IDEA, Debugging Environment Overview, Setting Breakpoints, Running the Debugger, Inspecting Variables and Expressions, Using Watches, Exception Breakpoints, Thread Debugging, Memory and Performance Profiling</t>
  </si>
  <si>
    <t>Introduction to Reactive Programming</t>
  </si>
  <si>
    <t>Reactive Programming Fundamentals, Reactive Streams and Backpressure, Project Reactor Basics, Concurrency in Reactive Programming</t>
  </si>
  <si>
    <t>Working with Java Modules</t>
  </si>
  <si>
    <t>Introduction to Modular Programming, Creating and Using Modules, Modularity in Java 17</t>
  </si>
  <si>
    <t>Java Networking</t>
  </si>
  <si>
    <t xml:space="preserve">Basics of Networking in Java, TCP and UDP Communication, HTTP Client </t>
  </si>
  <si>
    <t>Reverse Engineering Concepts</t>
  </si>
  <si>
    <t>Introduction to Reverse Engineering, Decompilation in Java, Java Bytecode Analysis, Reflection and Introspection in Java, Debugging and Code Analysis Techniques, Code Obfuscation and Deobfuscation, Working with Legacy Code and APIs, Software Security through Reverse Engineering</t>
  </si>
  <si>
    <r>
      <t>v17</t>
    </r>
    <r>
      <rPr>
        <sz val="11"/>
        <color rgb="FF000000"/>
        <rFont val="Arial"/>
        <family val="2"/>
      </rPr>
      <t xml:space="preserve"> - Sealed Classes and Interfaces, Pattern Matching for instanceof, Text Blocks, Records, Switch Expression Enhancements, Hidden Classes</t>
    </r>
    <r>
      <rPr>
        <b/>
        <sz val="11"/>
        <color rgb="FF000000"/>
        <rFont val="Arial"/>
        <family val="2"/>
      </rPr>
      <t xml:space="preserve">
v21 - </t>
    </r>
    <r>
      <rPr>
        <sz val="11"/>
        <color rgb="FF000000"/>
        <rFont val="Arial"/>
        <family val="2"/>
      </rPr>
      <t xml:space="preserve">String Templates, Sequenced Collections, Pattern Matching for switch and Record Patterns, Virtual Threads
</t>
    </r>
    <r>
      <rPr>
        <b/>
        <sz val="11"/>
        <color rgb="FF000000"/>
        <rFont val="Arial"/>
        <family val="2"/>
      </rPr>
      <t xml:space="preserve">v25 - </t>
    </r>
    <r>
      <rPr>
        <sz val="11"/>
        <color rgb="FF000000"/>
        <rFont val="Arial"/>
        <family val="2"/>
      </rPr>
      <t xml:space="preserve">Flexible Constructor Bodies, Primitive Types in Patterns, Compact Source Files and Instance Main Methods, Module Import Declarations, Ahead-of-Time Method Profiling </t>
    </r>
  </si>
  <si>
    <t>Language-Specific Features - v17, v21, v25</t>
  </si>
  <si>
    <t>Application Programming with Java (Upto Version 25)</t>
  </si>
  <si>
    <r>
      <t xml:space="preserve">Introduction to Spring Data JPA and Hibernate, </t>
    </r>
    <r>
      <rPr>
        <b/>
        <sz val="11"/>
        <rFont val="Arial"/>
        <family val="2"/>
      </rPr>
      <t xml:space="preserve">Hibernate-specific Features </t>
    </r>
    <r>
      <rPr>
        <sz val="11"/>
        <rFont val="Arial"/>
        <family val="2"/>
      </rPr>
      <t>- Leveraging Hibernate-specific annotations, Configuring Hibernate dialect and properties, Batch processing with Hibernate;</t>
    </r>
  </si>
  <si>
    <t>Introduction to DSA</t>
  </si>
  <si>
    <t>Importance of DSA in software engineering, Time and space complexity, Big O notation and performance analysis</t>
  </si>
  <si>
    <t>Arrays and Strings</t>
  </si>
  <si>
    <r>
      <rPr>
        <b/>
        <sz val="11"/>
        <color rgb="FF000000"/>
        <rFont val="Arial"/>
        <family val="2"/>
      </rPr>
      <t>Array operations</t>
    </r>
    <r>
      <rPr>
        <sz val="11"/>
        <color rgb="FF000000"/>
        <rFont val="Arial"/>
        <family val="2"/>
      </rPr>
      <t xml:space="preserve">: insert, delete, traverse, Multidimensional arrays, </t>
    </r>
    <r>
      <rPr>
        <b/>
        <sz val="11"/>
        <color rgb="FF000000"/>
        <rFont val="Arial"/>
        <family val="2"/>
      </rPr>
      <t>String manipulation</t>
    </r>
    <r>
      <rPr>
        <sz val="11"/>
        <color rgb="FF000000"/>
        <rFont val="Arial"/>
        <family val="2"/>
      </rPr>
      <t>: reverse, palindrome, anagram, Common problems using arrays and strings</t>
    </r>
  </si>
  <si>
    <t>Linked Lists</t>
  </si>
  <si>
    <r>
      <t xml:space="preserve">Singly and doubly linked lists, Circular linked lists, </t>
    </r>
    <r>
      <rPr>
        <b/>
        <sz val="11"/>
        <color rgb="FF000000"/>
        <rFont val="Arial"/>
        <family val="2"/>
      </rPr>
      <t>Operations</t>
    </r>
    <r>
      <rPr>
        <sz val="11"/>
        <color rgb="FF000000"/>
        <rFont val="Arial"/>
        <family val="2"/>
      </rPr>
      <t>: insert, delete, search, Detecting and removing loops</t>
    </r>
  </si>
  <si>
    <t>Stacks and Queues</t>
  </si>
  <si>
    <r>
      <t xml:space="preserve">Stack operations and applications (e.g., expression evaluation), </t>
    </r>
    <r>
      <rPr>
        <b/>
        <sz val="11"/>
        <color rgb="FF000000"/>
        <rFont val="Arial"/>
        <family val="2"/>
      </rPr>
      <t>Queue types</t>
    </r>
    <r>
      <rPr>
        <sz val="11"/>
        <color rgb="FF000000"/>
        <rFont val="Arial"/>
        <family val="2"/>
      </rPr>
      <t>: simple, circular, priority
Implementation using arrays and linked lists
Real-world use cases</t>
    </r>
  </si>
  <si>
    <t>Recursion and Backtracking</t>
  </si>
  <si>
    <r>
      <t xml:space="preserve">Recursive function design, </t>
    </r>
    <r>
      <rPr>
        <b/>
        <sz val="11"/>
        <color rgb="FF000000"/>
        <rFont val="Arial"/>
        <family val="2"/>
      </rPr>
      <t>Backtracking problems</t>
    </r>
    <r>
      <rPr>
        <sz val="11"/>
        <color rgb="FF000000"/>
        <rFont val="Arial"/>
        <family val="2"/>
      </rPr>
      <t>: N-Queens, Sudoku solver, Tail recursion optimization</t>
    </r>
  </si>
  <si>
    <t>Sorting and Searching Algorithms</t>
  </si>
  <si>
    <r>
      <rPr>
        <b/>
        <sz val="11"/>
        <color rgb="FF000000"/>
        <rFont val="Arial"/>
        <family val="2"/>
      </rPr>
      <t>Sorting:</t>
    </r>
    <r>
      <rPr>
        <sz val="11"/>
        <color rgb="FF000000"/>
        <rFont val="Arial"/>
        <family val="2"/>
      </rPr>
      <t xml:space="preserve"> Bubble, Selection, Insertion, Merge, Quick
</t>
    </r>
    <r>
      <rPr>
        <b/>
        <sz val="11"/>
        <color rgb="FF000000"/>
        <rFont val="Arial"/>
        <family val="2"/>
      </rPr>
      <t>Searching</t>
    </r>
    <r>
      <rPr>
        <sz val="11"/>
        <color rgb="FF000000"/>
        <rFont val="Arial"/>
        <family val="2"/>
      </rPr>
      <t>: Linear, Binary, Comparison of sorting algorithms</t>
    </r>
  </si>
  <si>
    <t>Greedy and Dynamic Programming</t>
  </si>
  <si>
    <r>
      <t xml:space="preserve">Greedy strategy and common problems (e.g., activity selection), </t>
    </r>
    <r>
      <rPr>
        <b/>
        <sz val="11"/>
        <color rgb="FF000000"/>
        <rFont val="Arial"/>
        <family val="2"/>
      </rPr>
      <t>Dynamic programming</t>
    </r>
    <r>
      <rPr>
        <sz val="11"/>
        <color rgb="FF000000"/>
        <rFont val="Arial"/>
        <family val="2"/>
      </rPr>
      <t xml:space="preserve">: memoization and tabulation, </t>
    </r>
    <r>
      <rPr>
        <b/>
        <sz val="11"/>
        <color rgb="FF000000"/>
        <rFont val="Arial"/>
        <family val="2"/>
      </rPr>
      <t>Problems</t>
    </r>
    <r>
      <rPr>
        <sz val="11"/>
        <color rgb="FF000000"/>
        <rFont val="Arial"/>
        <family val="2"/>
      </rPr>
      <t>: knapsack, longest common subsequence</t>
    </r>
  </si>
  <si>
    <t>Introduction to Software Design Principles</t>
  </si>
  <si>
    <t>What are design principles and why they matter, Clean code fundamentals, SOLID principles explained with Java examples: Single Responsibility Principle, Open/Closed Principle, Liskov Substitution Principle, Interface Segregation Principle, Dependency Inversion Principle, 
DRY, KISS, YAGNI principles, Coupling vs Cohesion</t>
  </si>
  <si>
    <t>Object-Oriented Design in Practice</t>
  </si>
  <si>
    <t>Encapsulation, Inheritance, Polymorphism, Abstraction, Composition vs Inheritance, Designing reusable and extensible classes, Real-world modeling using OOP</t>
  </si>
  <si>
    <t>Creational Design Patterns</t>
  </si>
  <si>
    <t>Singleton Pattern (eager vs lazy initialization), Factory Pattern (simple and abstract factory), Builder Pattern (for complex object construction), Prototype Pattern (cloning objects)</t>
  </si>
  <si>
    <t>Structural Design Patterns</t>
  </si>
  <si>
    <t>Adapter Pattern (interface compatibility), Decorator Pattern (adding behavior dynamically), Composite Pattern (tree structures), Proxy Pattern (access control and lazy loading), Facade Pattern (simplified interface to subsystems), Applying patterns in layered architecture</t>
  </si>
  <si>
    <t>Behavioral Design Patterns</t>
  </si>
  <si>
    <t>Strategy Pattern (dynamic behavior selection), Observer Pattern (event-driven systems), Command Pattern (encapsulating requests), Template Method Pattern (algorithm skeletons), State Pattern (object behavior based on state), Chain of Responsibility Pattern (request processing pipeline), Real-world examples in Spring Boot and UI logic</t>
  </si>
  <si>
    <t>Refactoring and Anti-Patterns</t>
  </si>
  <si>
    <r>
      <t xml:space="preserve">Identifying code smells, Refactoring techniques using design patterns, </t>
    </r>
    <r>
      <rPr>
        <b/>
        <sz val="11"/>
        <color rgb="FF000000"/>
        <rFont val="Arial"/>
        <family val="2"/>
      </rPr>
      <t>Common anti-patterns:</t>
    </r>
    <r>
      <rPr>
        <sz val="11"/>
        <color rgb="FF000000"/>
        <rFont val="Arial"/>
        <family val="2"/>
      </rPr>
      <t xml:space="preserve"> God Object, Spaghetti Code, Golden Hammer, How to avoid and fix them</t>
    </r>
  </si>
  <si>
    <t>Introduction to Logging in Java</t>
  </si>
  <si>
    <t>Importance of logging in application development, Logging frameworks overview: Log4j, Logback, java.util.logging</t>
  </si>
  <si>
    <t>SLF4J Basics</t>
  </si>
  <si>
    <t>What is SLF4J and why use it, SLF4J as a facade for multiple logging frameworks, Setting up SLF4J with Logback or Log4j</t>
  </si>
  <si>
    <t>Using SLF4J in Java Applications</t>
  </si>
  <si>
    <t>Logging levels: TRACE, DEBUG, INFO, WARN, ERROR, Best practices for structured logging, Logging exceptions and contextual data</t>
  </si>
  <si>
    <t>Integration with Spring Boot</t>
  </si>
  <si>
    <r>
      <t xml:space="preserve">Default logging setup in Spring Boot, Customizing logging configuration via </t>
    </r>
    <r>
      <rPr>
        <i/>
        <sz val="11"/>
        <rFont val="Arial"/>
        <family val="2"/>
      </rPr>
      <t>application.properties</t>
    </r>
    <r>
      <rPr>
        <sz val="11"/>
        <rFont val="Arial"/>
        <family val="2"/>
      </rPr>
      <t xml:space="preserve"> or </t>
    </r>
    <r>
      <rPr>
        <i/>
        <sz val="11"/>
        <rFont val="Arial"/>
        <family val="2"/>
      </rPr>
      <t>logback.xml</t>
    </r>
  </si>
  <si>
    <t>Introduction to Lombok</t>
  </si>
  <si>
    <t>Purpose and benefits of Lombok, Reducing boilerplate code in Java</t>
  </si>
  <si>
    <t>Core Lombok Annotations</t>
  </si>
  <si>
    <t xml:space="preserve"> @Getter, @Setter, @ToString, @EqualsAndHashCode
@Data for combined annotations, @NoArgsConstructor, @AllArgsConstructor, @Builder</t>
  </si>
  <si>
    <t>Advanced Lombok Usage</t>
  </si>
  <si>
    <t xml:space="preserve"> @Slf4j for logging integration, @Value for immutable classes, @SneakyThrows and its implications</t>
  </si>
  <si>
    <t>Integration and IDE Support</t>
  </si>
  <si>
    <t>Setting up Lombok in Maven/Gradle projects, Enabling Lombok support in IntelliJ IDEA or Eclipse, Troubleshooting common Lombok issues</t>
  </si>
  <si>
    <r>
      <rPr>
        <b/>
        <sz val="11"/>
        <color rgb="FF000000"/>
        <rFont val="Arial"/>
        <family val="2"/>
      </rPr>
      <t>File System Module (fs)</t>
    </r>
    <r>
      <rPr>
        <sz val="11"/>
        <color rgb="FF000000"/>
        <rFont val="Arial"/>
        <family val="2"/>
      </rPr>
      <t xml:space="preserve"> - Reading and writing files, Basic asynchronous operations with fs (e.g., readFile and writeFile), </t>
    </r>
    <r>
      <rPr>
        <b/>
        <sz val="11"/>
        <color rgb="FF000000"/>
        <rFont val="Arial"/>
        <family val="2"/>
      </rPr>
      <t>HTTP Module</t>
    </r>
    <r>
      <rPr>
        <sz val="11"/>
        <color rgb="FF000000"/>
        <rFont val="Arial"/>
        <family val="2"/>
      </rPr>
      <t xml:space="preserve"> - Creating a basic HTTP server, Handling simple HTTP requests and responses</t>
    </r>
  </si>
  <si>
    <r>
      <rPr>
        <b/>
        <sz val="11"/>
        <color rgb="FF000000"/>
        <rFont val="Arial"/>
        <family val="2"/>
      </rPr>
      <t>Callbacks and Promises</t>
    </r>
    <r>
      <rPr>
        <sz val="11"/>
        <color rgb="FF000000"/>
        <rFont val="Arial"/>
        <family val="2"/>
      </rPr>
      <t xml:space="preserve"> - Using callbacks for asynchronous operations, Introduction to Promises and .then() syntax, </t>
    </r>
    <r>
      <rPr>
        <b/>
        <sz val="11"/>
        <color rgb="FF000000"/>
        <rFont val="Arial"/>
        <family val="2"/>
      </rPr>
      <t>Async/Await Basics</t>
    </r>
    <r>
      <rPr>
        <sz val="11"/>
        <color rgb="FF000000"/>
        <rFont val="Arial"/>
        <family val="2"/>
      </rPr>
      <t xml:space="preserve"> - Using async/await for cleaner asynchronous code</t>
    </r>
  </si>
  <si>
    <t>Week 6-7</t>
  </si>
  <si>
    <t>Week 8-9</t>
  </si>
  <si>
    <t>Spring REST using Spring Boot 3
Application Debugging - Backend
TDD using JUnit and Mockito
SLF4J and Lombok</t>
  </si>
  <si>
    <t>• Development of RESTful APIs for domain-specific management (CRUD operations).
• Debugging and resolving backend issues.
• Writing unit tests using JUnit and Mockito.
• Implementing logging with SLF4J and Lombok.</t>
  </si>
  <si>
    <t>• Design of a microservices architecture for various modules.
• Implementation of inter-service communication.
• Dockerizing the management system.</t>
  </si>
  <si>
    <t>Microservices with Spring Boot 3 and Spring Cloud
Docker</t>
  </si>
  <si>
    <t>Week 10-12</t>
  </si>
  <si>
    <t>• Sprint Planning: 1 hour (Day 1 of Week 10)
• Daily Stand-ups: 15 minutes each (Days 2-5 of each week)
• Sprint Review and Retrospective: 1 hour (Day 3 of Week 12)</t>
  </si>
  <si>
    <t>• IntelliJ IDEA / Eclipse / STS
• Spring Boot
• Spring Cloud
• Docker</t>
  </si>
  <si>
    <t>Code Quality Standards
SonarQube
Cloud and DevOps Basics using AWS</t>
  </si>
  <si>
    <t xml:space="preserve">Sprint 5 - DevOps and Cloud, Code Quality </t>
  </si>
  <si>
    <t>• Amazon Web Services (AWS)
• SonarQube</t>
  </si>
  <si>
    <t>• Deploying the application on Amazon Web Services (AWS).
• Basic CI/CD pipeline setup.
• Ensuring code quality with SonarQube.</t>
  </si>
  <si>
    <t>REST API Development,Backend Debugging,Unit Testing,Code Quality</t>
  </si>
  <si>
    <t>Microservices Architecture,Containerization</t>
  </si>
  <si>
    <t>SPA Development,Front-End Debugging,UI Toolkit Integration</t>
  </si>
  <si>
    <t>Cloud Deployment,DevOps Practices,Code Quality</t>
  </si>
  <si>
    <t>TypeScript Basics</t>
  </si>
  <si>
    <t>2.51 weeks</t>
  </si>
  <si>
    <t>JDBC (Java Database Connectivity)</t>
  </si>
  <si>
    <t>Connecting to Databases (JDBC Drivers, Connection), Executing SQL Queries (Statement, PreparedStatement), ResultSet Handling (Fetching data from the database)</t>
  </si>
  <si>
    <t>Embedded AI Features in Jira</t>
  </si>
  <si>
    <t>AI Work Creation and Breakdown, Atlassian Intelligence, AI Agents and Virtual Assistants, Natural Language Processing (NLP) Features, Integration and Automation (Rovo)</t>
  </si>
  <si>
    <t>TypeScript</t>
  </si>
  <si>
    <t>Introduction to TypeScript</t>
  </si>
  <si>
    <t>What is TypeScript?, Benefits over JavaScript, Installing TypeScript and using the compiler (tsc), Setting up tsconfig.json</t>
  </si>
  <si>
    <t>Basic Types</t>
  </si>
  <si>
    <r>
      <t xml:space="preserve">Primitive types: number, string, boolean, </t>
    </r>
    <r>
      <rPr>
        <b/>
        <sz val="11"/>
        <color theme="1"/>
        <rFont val="Arial"/>
        <family val="2"/>
      </rPr>
      <t>Special types</t>
    </r>
    <r>
      <rPr>
        <sz val="11"/>
        <color theme="1"/>
        <rFont val="Arial"/>
        <family val="2"/>
      </rPr>
      <t>: any, void, null, undefined, Arrays and Tuples</t>
    </r>
  </si>
  <si>
    <t>Type Annotations and Inference</t>
  </si>
  <si>
    <t>Explicit vs implicit typing, Type assertions (as keyword)</t>
  </si>
  <si>
    <t xml:space="preserve">Functions </t>
  </si>
  <si>
    <t>Function parameter and return types, Optional and default parameters, Arrow functions with types</t>
  </si>
  <si>
    <t>Interfaces and Object Types</t>
  </si>
  <si>
    <t>Defining interfaces, Optional and readonly properties, 
Using interfaces with functions and objects</t>
  </si>
  <si>
    <t>Classes and Access Modifiers</t>
  </si>
  <si>
    <t>Class syntax and constructors, public, private, protected modifiers, Basic inheritance</t>
  </si>
  <si>
    <t>Union and Literal Types</t>
  </si>
  <si>
    <t>Union types (string | number), Literal types ('success' | 'error'), Type narrowing basics</t>
  </si>
  <si>
    <t>Self-Paced Learning</t>
  </si>
  <si>
    <t>Week 2-5</t>
  </si>
  <si>
    <t>Sprint 1 – Project Environment Setup, Backend and Data Foundations</t>
  </si>
  <si>
    <t>3.02 Weeks</t>
  </si>
  <si>
    <t>Agile Methodology
Jira Basics
GIT Basics
Data Structures and Algorithms
Design Patterns and Principles
Spring Core and Maven
Spring Data JPA with Spring Boot, Hibernate</t>
  </si>
  <si>
    <t>Cross-functional Skills, Problem Solving,Software Design,Backend Development,ORM Integration</t>
  </si>
  <si>
    <t>Sprint 2 - API Development and Testing</t>
  </si>
  <si>
    <t>2.4 weeks</t>
  </si>
  <si>
    <t>• Setup project repository and add PoD members
• Setup of a Spring Boot application.
• Creation of domain-specific entities and repositories using Spring Data JPA.
• Implementation of CRUD operations for domain data.
• Integration with Hibernate for Object-Relational Mapping (ORM).</t>
  </si>
  <si>
    <t>• Sprint Planning: 1 hour (Day 1 of Week 2)
• Daily Stand-ups: 15 minutes each (Days 2-5 of each week)
• Sprint Review and Retrospective: 1 hour (Day 3 of Week 5)</t>
  </si>
  <si>
    <t>• Sprint Planning: 1 hour (Day 1 of Week 6)
• Daily Stand-ups: 15 minutes each (Days 2-5 of each week)
• Sprint Review and Retrospective: 1 hour (Day 3 of Week 7)</t>
  </si>
  <si>
    <t xml:space="preserve">• JIRA (Free version)
• GIT
• VS Code
• MySQL Community Server 8.4
• MySQL Workbench 8.0.43
• IntelliJ IDEA / Eclipse / STS
• Spring Framework
• Maven
• Hibernate
</t>
  </si>
  <si>
    <t xml:space="preserve">• IntelliJ IDEA / Eclipse / STS
• Spring Boot
• Spring Cloud
• Postman
</t>
  </si>
  <si>
    <t>Sprint 3 – Microservices &amp; Containerization</t>
  </si>
  <si>
    <t>1.91 weeks</t>
  </si>
  <si>
    <t>• Sprint Planning: 1 hour (Day 1 of Week 8)
• Daily Stand-ups: 15 minutes each (Days 2-5 of each week)
• Sprint Review and Retrospective: 1 hour (Day 5 of Week 9)</t>
  </si>
  <si>
    <t>Sprint 4 - Front-end Development</t>
  </si>
  <si>
    <t>Week 13-14</t>
  </si>
  <si>
    <t>2 weeks</t>
  </si>
  <si>
    <t>• Sprint Planning: 1 hour (Day 1 of Week 13)
• Daily Stand-ups: 15 minutes each (Days 2-5)
• Sprint Review and Retrospective: 1 hour (Day 3 of week 14)</t>
  </si>
  <si>
    <t>• Understand Agile principles, values, and the key differences from the Waterfall methodology.
• Understand the roles, ceremonies, and artifacts within the Scrum framework.
• Participate effectively in Scrum ceremonies and utilize Scrum artifacts in project scenarios.
• Write clear and effective user stories with well-defined acceptance criteria.
• Understand and utilize GIT for version control, including branching, merging, and resolving conflicts.
• Efficiently collaborate with team members using GIT workflows and repositories.
• Apply core data structures such as arrays, linked lists, stacks, queues, trees, and graphs to solve computational problems.
• Design and optimize algorithms for searching, sorting, and recursion.
• Evaluate algorithm performance using Big O notation and apply appropriate strategies for efficiency.
• Explain and apply object-oriented design principles such as SOLID, DRY, and KISS in software development.
• Implement common design patterns such as Singleton, Factory, Strategy, and Observer using Java.
• Refactor code to improve structure, readability, and extensibility using design principles.
• Develop modular Java applications using Spring Core features such as dependency injection and bean lifecycle management.
• Use Maven for project build automation, dependency management, and lifecycle control.
• Integrate Spring Core with other modules to build scalable backend applications.
• Design and implement data access layers using Spring Data JPA and Hibernate.
• Configure Spring Boot applications for seamless integration with relational databases.
• Optimize data access using JPQL, native queries, and pagination techniques.</t>
  </si>
  <si>
    <t>• Create structured and semantic web pages using HTML5.
• Style web pages effectively using CSS3, including layout techniques like Flexbox and Grid.
• Implement responsive design principles for mobile-first development.
• Write interactive and dynamic client-side scripts using JavaScript.
• Design normalized relational schemas and write efficient SQL queries using MySQL.
• Implement joins, subqueries, and stored procedures for advanced data operations in MySQL.
• Use MySQL Workbench for database development, schema design, and performance tuning.
• Develop modular and maintainable applications using Java 21 features and object-oriented programming principles.
• Implement CRUD operations and integrate with MySQL databases using JDBC.</t>
  </si>
  <si>
    <t>Sprint 0 - Refresher Learning</t>
  </si>
  <si>
    <t>HTML5 - Refresher</t>
  </si>
  <si>
    <t>CSS3 - Refresher</t>
  </si>
  <si>
    <t>JavaScript - Refresher</t>
  </si>
  <si>
    <t>ANSI SQL with MySQL - Refresher</t>
  </si>
  <si>
    <t>Application Programming with Java (Upto Version 25) - Refresher</t>
  </si>
  <si>
    <t>• Build React SPA with Bootstrap
• Debug front-end issues
• Integrate REST APIs with React</t>
  </si>
  <si>
    <t>• Visual Studio Code
• Node.js
• create-react-app
• Chrome Developer Tools</t>
  </si>
  <si>
    <t>React (v18)</t>
  </si>
  <si>
    <t>Node.js
TypeScript
Bootstrap 5
React (v18)
Application Debugging - Front-end</t>
  </si>
  <si>
    <t>• Explain the role of Node.js in server-side JavaScript development and full-stack architecture.
• Build basic server-side applications using Node.js and core modules.
• Use npm for dependency management and modular development.
• Design responsive and mobile-first web interfaces using Bootstrap 5 components and grid system.
• Customize Bootstrap styles using variables and utility APIs.
• Integrate Bootstrap with React for rapid UI development.
• Build and maintain React applications using core features and best practices.
• Create dynamic and responsive user interfaces with React.
• Identify and resolve front-end issues using browser developer tools.
• Use console logging and breakpoints to trace and fix UI and logic errors.
• Optimize front-end performance by analyzing rendering, memory usage, and network bottlenecks.</t>
  </si>
  <si>
    <t>Introduction to React and Setting Up the Environment</t>
  </si>
  <si>
    <t>Key Concepts: Components, State, and Props, Differences Between Class and Functional Components, Introduction to React v18 Features (e.g., Automatic Batching, Concurrent Rendering), Installing Node.js and npm, Creating a React Application with create-react-app, Understanding the Project Structure</t>
  </si>
  <si>
    <t>JSX and Rendering Elements</t>
  </si>
  <si>
    <t>Writing JSX and Embedding Expressions, JSX Syntax and Rules, Differences Between JSX and HTML, Rendering Elements with ReactDOM.createRoot, Understanding React’s Virtual DOM, Conditional Rendering with Ternaries and &amp;&amp; Operators</t>
  </si>
  <si>
    <t>Components and Props</t>
  </si>
  <si>
    <t>Defining and Exporting Components, Understanding Component Reusability and Nesting, Passing Data with Props, Prop Types and Default Props, Parent-to-Child Data Flow</t>
  </si>
  <si>
    <t>State and Event Handling</t>
  </si>
  <si>
    <t>Using useState Hook to Manage Local State, Differences Between Props and State, Event Handling Syntax in React, Passing Event Handlers as Props, Using Synthetic Event</t>
  </si>
  <si>
    <t>React Hooks</t>
  </si>
  <si>
    <t>Benefits of Hooks and Why They Replaced Class Components, Basic Rules of Using Hooks, useState for State Management, useEffect for Side Effects and Lifecycle, useRef for DOM Manipulation and Persistent Values</t>
  </si>
  <si>
    <t>Component Lifecycle and Effects</t>
  </si>
  <si>
    <t>Executing Side Effects on Mount and Update, Cleanup Functions and Component Unmounting, Using Dependency Arrays for Conditional Execution, Common Pitfalls and Best Practices with useEffect</t>
  </si>
  <si>
    <t>React Router and Navigation</t>
  </si>
  <si>
    <t>Installing React Router and Configuring Routes, Basic Routing with BrowserRouter, Route, and Link, Nested Routes and Route Parameters, Redirects and Programmatic Navigation, useNavigate and useParams Hooks for Navigation</t>
  </si>
  <si>
    <t>Forms and Controlled Components</t>
  </si>
  <si>
    <t>Building Controlled Components with State, Managing Form Data and Submitting Forms, Basic Validation in Controlled Components, Integrating Form Libraries (e.g., Formik or React Hook Form)</t>
  </si>
  <si>
    <t>Context API for State Management</t>
  </si>
  <si>
    <t>Understanding Prop Drilling and When to Use Context, Creating and Providing Context with createContext and Provider, Accessing Context with useContext, Best Practices for Using Context API in Larger Applications</t>
  </si>
  <si>
    <t xml:space="preserve">Advanced State Management with Redux </t>
  </si>
  <si>
    <t>Installing Redux and React-Redux Libraries, Understanding Redux Concepts: Store, Actions, and Reducers, Dispatching Actions and Reading State with useSelector and useDispatch, Best Practices for Managing Complex State</t>
  </si>
  <si>
    <t>Asynchronous Operations and Data Fetching</t>
  </si>
  <si>
    <t>Using fetch API to Make HTTP Requests, Error Handling and Displaying Loading States, Benefits of React Query for Caching and Synchronization, Optimistic Updates and Error Boundaries</t>
  </si>
  <si>
    <t>Testing in React</t>
  </si>
  <si>
    <t>Setting Up Jest and Writing Simple Unit Tests, Testing Components, Props, and State, Testing User Interactions with React Testing Library, Overview of E2E Testing with Cypress (Basic Introduction)</t>
  </si>
  <si>
    <t>BH Pre-Assessment</t>
  </si>
  <si>
    <t>Pre-Assessment</t>
  </si>
  <si>
    <t>Week 8</t>
  </si>
  <si>
    <t>BH Post-Assessment</t>
  </si>
  <si>
    <t>Post-Assessment</t>
  </si>
  <si>
    <t>Leadership Connects</t>
  </si>
  <si>
    <t>Stages/Levels</t>
  </si>
  <si>
    <t>Stage 1 -Refresher</t>
  </si>
  <si>
    <t>Stage 2</t>
  </si>
  <si>
    <t>Stage 3</t>
  </si>
  <si>
    <t>Stage 4</t>
  </si>
  <si>
    <t>Others</t>
  </si>
  <si>
    <t>IDE Java FSE - React (Stage 2 Plus)</t>
  </si>
  <si>
    <t>IDE Java FSE - React</t>
  </si>
  <si>
    <t>GENCs/Interns tagged to IDE FSE Java - React tracks.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</si>
</sst>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1"/>
      <color theme="1"/>
      <name val="Arial"/>
      <family val="2"/>
    </font>
    <font>
      <sz val="11"/>
      <color rgb="FF1F4E78"/>
      <name val="Arial"/>
      <family val="2"/>
    </font>
    <font>
      <sz val="11"/>
      <color rgb="FF000000"/>
      <name val="Arial"/>
      <family val="2"/>
    </font>
    <font>
      <b/>
      <sz val="11"/>
      <color rgb="FF000000"/>
      <name val="Arial"/>
      <family val="2"/>
    </font>
    <font>
      <b/>
      <sz val="12"/>
      <color theme="0"/>
      <name val="Arial"/>
      <family val="2"/>
    </font>
    <font>
      <sz val="12"/>
      <color theme="1"/>
      <name val="Arial"/>
      <family val="2"/>
    </font>
    <font>
      <sz val="11"/>
      <name val="Arial"/>
      <family val="2"/>
    </font>
    <font>
      <b/>
      <sz val="11"/>
      <color rgb="FFFFFFFF"/>
      <name val="Arial"/>
      <family val="2"/>
    </font>
    <font>
      <sz val="11"/>
      <color theme="0"/>
      <name val="Arial"/>
      <family val="2"/>
    </font>
    <font>
      <b/>
      <sz val="11"/>
      <name val="Arial"/>
      <family val="2"/>
    </font>
    <font>
      <b/>
      <sz val="11"/>
      <color theme="1"/>
      <name val="Arial"/>
      <family val="2"/>
    </font>
    <font>
      <b/>
      <sz val="11"/>
      <color theme="0"/>
      <name val="Arial"/>
      <family val="2"/>
    </font>
    <font>
      <i/>
      <sz val="11"/>
      <name val="Arial"/>
      <family val="2"/>
    </font>
    <font>
      <sz val="11"/>
      <color rgb="FFFFFFFF"/>
      <name val="Arial"/>
      <family val="2"/>
    </font>
    <font>
      <b/>
      <sz val="16"/>
      <color rgb="FFFFFFFF"/>
      <name val="Calibri"/>
      <family val="2"/>
      <scheme val="minor"/>
    </font>
  </fonts>
  <fills count="14">
    <fill>
      <patternFill patternType="none"/>
    </fill>
    <fill>
      <patternFill patternType="gray125"/>
    </fill>
    <fill>
      <patternFill patternType="solid">
        <fgColor rgb="FF000048"/>
        <bgColor rgb="FF000000"/>
      </patternFill>
    </fill>
    <fill>
      <patternFill patternType="solid">
        <fgColor rgb="FFD6DCE4"/>
        <bgColor rgb="FF000000"/>
      </patternFill>
    </fill>
    <fill>
      <patternFill patternType="solid">
        <fgColor rgb="FFDDEBF7"/>
        <bgColor rgb="FF000000"/>
      </patternFill>
    </fill>
    <fill>
      <patternFill patternType="solid">
        <fgColor rgb="FF7B7B7B"/>
        <bgColor rgb="FF000000"/>
      </patternFill>
    </fill>
    <fill>
      <patternFill patternType="solid">
        <fgColor rgb="FF305496"/>
        <bgColor rgb="FF000000"/>
      </patternFill>
    </fill>
    <fill>
      <patternFill patternType="solid">
        <fgColor rgb="FF36C0CF"/>
        <bgColor indexed="64"/>
      </patternFill>
    </fill>
    <fill>
      <patternFill patternType="solid">
        <fgColor rgb="FF0070C0"/>
        <bgColor rgb="FF000000"/>
      </patternFill>
    </fill>
    <fill>
      <patternFill patternType="solid">
        <fgColor rgb="FF000048"/>
        <bgColor indexed="64"/>
      </patternFill>
    </fill>
    <fill>
      <patternFill patternType="solid">
        <fgColor rgb="FF00B0F0"/>
        <bgColor rgb="FF000000"/>
      </patternFill>
    </fill>
    <fill>
      <patternFill patternType="solid">
        <fgColor theme="0"/>
        <bgColor indexed="64"/>
      </patternFill>
    </fill>
    <fill>
      <patternFill patternType="solid">
        <fgColor rgb="FFFFFF00"/>
        <bgColor indexed="64"/>
      </patternFill>
    </fill>
    <fill>
      <patternFill patternType="solid">
        <fgColor rgb="FFFFFFFF"/>
        <bgColor rgb="FF000000"/>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thin">
        <color rgb="FF000000"/>
      </left>
      <right style="thin">
        <color rgb="FF000000"/>
      </right>
      <top/>
      <bottom style="thin">
        <color indexed="64"/>
      </bottom>
      <diagonal/>
    </border>
    <border>
      <left/>
      <right style="thin">
        <color rgb="FF000000"/>
      </right>
      <top/>
      <bottom/>
      <diagonal/>
    </border>
    <border>
      <left/>
      <right style="thin">
        <color rgb="FF000000"/>
      </right>
      <top style="thin">
        <color rgb="FF000000"/>
      </top>
      <bottom style="thin">
        <color rgb="FF000000"/>
      </bottom>
      <diagonal/>
    </border>
    <border>
      <left/>
      <right style="thin">
        <color rgb="FF000000"/>
      </right>
      <top/>
      <bottom style="thin">
        <color indexed="64"/>
      </bottom>
      <diagonal/>
    </border>
    <border>
      <left style="thin">
        <color indexed="64"/>
      </left>
      <right style="thin">
        <color indexed="64"/>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indexed="64"/>
      </left>
      <right/>
      <top style="thin">
        <color indexed="64"/>
      </top>
      <bottom/>
      <diagonal/>
    </border>
  </borders>
  <cellStyleXfs count="1">
    <xf numFmtId="0" fontId="0" fillId="0" borderId="0"/>
  </cellStyleXfs>
  <cellXfs count="146">
    <xf numFmtId="0" fontId="0" fillId="0" borderId="0" xfId="0"/>
    <xf numFmtId="0" fontId="1" fillId="0" borderId="0" xfId="0" applyFont="1" applyAlignment="1">
      <alignment vertical="top"/>
    </xf>
    <xf numFmtId="0" fontId="2" fillId="3" borderId="8" xfId="0" applyFont="1" applyFill="1" applyBorder="1" applyAlignment="1">
      <alignment horizontal="left" vertical="top"/>
    </xf>
    <xf numFmtId="0" fontId="3" fillId="4" borderId="11" xfId="0" applyFont="1" applyFill="1" applyBorder="1" applyAlignment="1">
      <alignment vertical="top" wrapText="1"/>
    </xf>
    <xf numFmtId="0" fontId="2" fillId="3" borderId="8" xfId="0" applyFont="1" applyFill="1" applyBorder="1" applyAlignment="1">
      <alignment horizontal="left" vertical="top" wrapText="1"/>
    </xf>
    <xf numFmtId="0" fontId="2" fillId="3" borderId="9" xfId="0" applyFont="1" applyFill="1" applyBorder="1" applyAlignment="1">
      <alignment horizontal="left" vertical="top" wrapText="1"/>
    </xf>
    <xf numFmtId="0" fontId="1" fillId="0" borderId="0" xfId="0" applyFont="1" applyAlignment="1">
      <alignment vertical="top" wrapText="1"/>
    </xf>
    <xf numFmtId="0" fontId="5" fillId="9" borderId="1" xfId="0" applyFont="1" applyFill="1" applyBorder="1" applyAlignment="1">
      <alignment horizontal="left" vertical="center"/>
    </xf>
    <xf numFmtId="0" fontId="5" fillId="9" borderId="1" xfId="0" applyFont="1" applyFill="1" applyBorder="1" applyAlignment="1">
      <alignment horizontal="left" vertical="center" wrapText="1"/>
    </xf>
    <xf numFmtId="0" fontId="7" fillId="11" borderId="1" xfId="0" applyFont="1" applyFill="1" applyBorder="1" applyAlignment="1">
      <alignment horizontal="left" vertical="top"/>
    </xf>
    <xf numFmtId="0" fontId="7" fillId="11" borderId="1" xfId="0" applyFont="1" applyFill="1" applyBorder="1" applyAlignment="1">
      <alignment horizontal="left" vertical="top" wrapText="1"/>
    </xf>
    <xf numFmtId="0" fontId="1" fillId="0" borderId="0" xfId="0" applyFont="1"/>
    <xf numFmtId="0" fontId="1" fillId="0" borderId="1" xfId="0" applyFont="1" applyBorder="1" applyAlignment="1">
      <alignment horizontal="left" vertical="top"/>
    </xf>
    <xf numFmtId="0" fontId="1" fillId="0" borderId="1" xfId="0" applyFont="1" applyBorder="1" applyAlignment="1">
      <alignment horizontal="left" vertical="top" wrapText="1"/>
    </xf>
    <xf numFmtId="0" fontId="8" fillId="2" borderId="1" xfId="0" applyFont="1" applyFill="1" applyBorder="1" applyAlignment="1">
      <alignment horizontal="center" vertical="center" wrapText="1"/>
    </xf>
    <xf numFmtId="0" fontId="8" fillId="2" borderId="1" xfId="0" applyFont="1" applyFill="1" applyBorder="1" applyAlignment="1">
      <alignment horizontal="right" vertical="center" wrapText="1"/>
    </xf>
    <xf numFmtId="0" fontId="1" fillId="0" borderId="0" xfId="0" applyFont="1" applyAlignment="1">
      <alignment horizontal="center" vertical="center"/>
    </xf>
    <xf numFmtId="0" fontId="3" fillId="0" borderId="1" xfId="0" applyFont="1" applyBorder="1" applyAlignment="1">
      <alignment vertical="top" wrapText="1"/>
    </xf>
    <xf numFmtId="0" fontId="3" fillId="0" borderId="1" xfId="0" applyFont="1" applyBorder="1" applyAlignment="1">
      <alignment horizontal="left" vertical="top" wrapText="1"/>
    </xf>
    <xf numFmtId="0" fontId="3" fillId="0" borderId="2" xfId="0" applyFont="1" applyBorder="1" applyAlignment="1">
      <alignment horizontal="right" vertical="top" wrapText="1"/>
    </xf>
    <xf numFmtId="0" fontId="3" fillId="0" borderId="2" xfId="0" applyFont="1" applyBorder="1" applyAlignment="1">
      <alignment horizontal="left" vertical="top" wrapText="1"/>
    </xf>
    <xf numFmtId="0" fontId="1" fillId="0" borderId="0" xfId="0" applyFont="1" applyAlignment="1">
      <alignment horizontal="left" vertical="top"/>
    </xf>
    <xf numFmtId="0" fontId="3" fillId="0" borderId="2" xfId="0" applyFont="1" applyBorder="1" applyAlignment="1">
      <alignment vertical="top" wrapText="1"/>
    </xf>
    <xf numFmtId="0" fontId="9" fillId="9" borderId="2" xfId="0" applyFont="1" applyFill="1" applyBorder="1" applyAlignment="1">
      <alignment horizontal="right" vertical="top" wrapText="1"/>
    </xf>
    <xf numFmtId="0" fontId="3" fillId="0" borderId="1" xfId="0" applyFont="1" applyBorder="1" applyAlignment="1">
      <alignment horizontal="right" vertical="top" wrapText="1"/>
    </xf>
    <xf numFmtId="0" fontId="8" fillId="10" borderId="3" xfId="0" applyFont="1" applyFill="1" applyBorder="1" applyAlignment="1">
      <alignment vertical="top" wrapText="1"/>
    </xf>
    <xf numFmtId="0" fontId="8" fillId="8" borderId="3" xfId="0" applyFont="1" applyFill="1" applyBorder="1" applyAlignment="1">
      <alignment vertical="top" wrapText="1"/>
    </xf>
    <xf numFmtId="0" fontId="3" fillId="0" borderId="3" xfId="0" applyFont="1" applyBorder="1" applyAlignment="1">
      <alignment horizontal="left" vertical="top" wrapText="1"/>
    </xf>
    <xf numFmtId="0" fontId="8" fillId="6" borderId="1" xfId="0" applyFont="1" applyFill="1" applyBorder="1" applyAlignment="1">
      <alignment horizontal="right" vertical="top" wrapText="1"/>
    </xf>
    <xf numFmtId="0" fontId="3" fillId="0" borderId="1" xfId="0" applyFont="1" applyBorder="1" applyAlignment="1">
      <alignment horizontal="left" vertical="top"/>
    </xf>
    <xf numFmtId="0" fontId="3" fillId="0" borderId="2" xfId="0" applyFont="1" applyBorder="1" applyAlignment="1">
      <alignment horizontal="right" vertical="center"/>
    </xf>
    <xf numFmtId="0" fontId="3" fillId="0" borderId="3" xfId="0" applyFont="1" applyBorder="1" applyAlignment="1">
      <alignment horizontal="right" vertical="center"/>
    </xf>
    <xf numFmtId="0" fontId="1" fillId="0" borderId="0" xfId="0" applyFont="1" applyAlignment="1">
      <alignment horizontal="right" vertical="top"/>
    </xf>
    <xf numFmtId="0" fontId="6" fillId="0" borderId="0" xfId="0" applyFont="1" applyAlignment="1">
      <alignment vertical="center"/>
    </xf>
    <xf numFmtId="0" fontId="4" fillId="0" borderId="2" xfId="0" applyFont="1" applyBorder="1" applyAlignment="1">
      <alignment horizontal="left" vertical="top" wrapText="1"/>
    </xf>
    <xf numFmtId="0" fontId="4" fillId="0" borderId="1" xfId="0" applyFont="1" applyBorder="1" applyAlignment="1">
      <alignment horizontal="left" vertical="top" wrapText="1"/>
    </xf>
    <xf numFmtId="0" fontId="1" fillId="0" borderId="1" xfId="0" applyFont="1" applyBorder="1" applyAlignment="1">
      <alignment vertical="top" wrapText="1"/>
    </xf>
    <xf numFmtId="0" fontId="8" fillId="2" borderId="1" xfId="0" applyFont="1" applyFill="1" applyBorder="1" applyAlignment="1">
      <alignment vertical="center"/>
    </xf>
    <xf numFmtId="0" fontId="8" fillId="2" borderId="1" xfId="0" applyFont="1" applyFill="1" applyBorder="1" applyAlignment="1">
      <alignment vertical="center" wrapText="1"/>
    </xf>
    <xf numFmtId="0" fontId="1" fillId="0" borderId="0" xfId="0" applyFont="1" applyAlignment="1">
      <alignment wrapText="1"/>
    </xf>
    <xf numFmtId="0" fontId="1" fillId="0" borderId="1" xfId="0" applyFont="1" applyBorder="1" applyAlignment="1">
      <alignment wrapText="1"/>
    </xf>
    <xf numFmtId="0" fontId="8" fillId="2" borderId="2" xfId="0" applyFont="1" applyFill="1" applyBorder="1" applyAlignment="1">
      <alignment vertical="center"/>
    </xf>
    <xf numFmtId="0" fontId="1" fillId="0" borderId="0" xfId="0" applyFont="1" applyAlignment="1">
      <alignment vertical="center"/>
    </xf>
    <xf numFmtId="0" fontId="3" fillId="12" borderId="1" xfId="0" applyFont="1" applyFill="1" applyBorder="1" applyAlignment="1">
      <alignment horizontal="left" vertical="top" wrapText="1"/>
    </xf>
    <xf numFmtId="0" fontId="3" fillId="12" borderId="2" xfId="0" applyFont="1" applyFill="1" applyBorder="1" applyAlignment="1">
      <alignment horizontal="right" vertical="top" wrapText="1"/>
    </xf>
    <xf numFmtId="0" fontId="3" fillId="12" borderId="2" xfId="0" applyFont="1" applyFill="1" applyBorder="1" applyAlignment="1">
      <alignment horizontal="left" vertical="top" wrapText="1"/>
    </xf>
    <xf numFmtId="0" fontId="7" fillId="0" borderId="1" xfId="0" applyFont="1" applyBorder="1" applyAlignment="1">
      <alignment horizontal="left" vertical="top" wrapText="1"/>
    </xf>
    <xf numFmtId="0" fontId="8" fillId="2" borderId="1" xfId="0" applyFont="1" applyFill="1" applyBorder="1" applyAlignment="1">
      <alignment horizontal="left" vertical="center" wrapText="1"/>
    </xf>
    <xf numFmtId="0" fontId="7" fillId="0" borderId="2" xfId="0" applyFont="1" applyBorder="1" applyAlignment="1">
      <alignment horizontal="left" vertical="top" wrapText="1"/>
    </xf>
    <xf numFmtId="0" fontId="7" fillId="0" borderId="1" xfId="0" applyFont="1" applyBorder="1" applyAlignment="1">
      <alignment vertical="top" wrapText="1"/>
    </xf>
    <xf numFmtId="0" fontId="3" fillId="0" borderId="1" xfId="0" applyFont="1" applyBorder="1" applyAlignment="1">
      <alignment vertical="top"/>
    </xf>
    <xf numFmtId="0" fontId="4" fillId="0" borderId="1" xfId="0" applyFont="1" applyBorder="1" applyAlignment="1">
      <alignment vertical="top" wrapText="1"/>
    </xf>
    <xf numFmtId="0" fontId="4" fillId="0" borderId="2" xfId="0" applyFont="1" applyBorder="1" applyAlignment="1">
      <alignment vertical="top" wrapText="1"/>
    </xf>
    <xf numFmtId="0" fontId="4" fillId="0" borderId="3" xfId="0" applyFont="1" applyBorder="1" applyAlignment="1">
      <alignment vertical="top" wrapText="1"/>
    </xf>
    <xf numFmtId="0" fontId="4" fillId="0" borderId="6" xfId="0" applyFont="1" applyBorder="1" applyAlignment="1">
      <alignment vertical="top" wrapText="1"/>
    </xf>
    <xf numFmtId="0" fontId="3" fillId="0" borderId="3" xfId="0" applyFont="1" applyBorder="1" applyAlignment="1">
      <alignment vertical="top" wrapText="1"/>
    </xf>
    <xf numFmtId="0" fontId="12" fillId="2" borderId="1" xfId="0" applyFont="1" applyFill="1" applyBorder="1" applyAlignment="1">
      <alignment horizontal="left" vertical="center" wrapText="1"/>
    </xf>
    <xf numFmtId="0" fontId="8" fillId="2" borderId="7" xfId="0" applyFont="1" applyFill="1" applyBorder="1" applyAlignment="1">
      <alignment horizontal="left"/>
    </xf>
    <xf numFmtId="0" fontId="8" fillId="2" borderId="15" xfId="0" applyFont="1" applyFill="1" applyBorder="1" applyAlignment="1">
      <alignment horizontal="left" wrapText="1"/>
    </xf>
    <xf numFmtId="0" fontId="3" fillId="13" borderId="18" xfId="0" applyFont="1" applyFill="1" applyBorder="1" applyAlignment="1">
      <alignment horizontal="left"/>
    </xf>
    <xf numFmtId="0" fontId="3" fillId="13" borderId="19" xfId="0" applyFont="1" applyFill="1" applyBorder="1" applyAlignment="1">
      <alignment horizontal="left" wrapText="1"/>
    </xf>
    <xf numFmtId="0" fontId="3" fillId="13" borderId="18" xfId="0" applyFont="1" applyFill="1" applyBorder="1" applyAlignment="1">
      <alignment horizontal="left" wrapText="1"/>
    </xf>
    <xf numFmtId="0" fontId="3" fillId="13" borderId="14" xfId="0" applyFont="1" applyFill="1" applyBorder="1" applyAlignment="1">
      <alignment horizontal="left" wrapText="1"/>
    </xf>
    <xf numFmtId="0" fontId="7" fillId="0" borderId="2" xfId="0" applyFont="1" applyBorder="1" applyAlignment="1">
      <alignment vertical="top" wrapText="1"/>
    </xf>
    <xf numFmtId="0" fontId="7" fillId="0" borderId="17" xfId="0" applyFont="1" applyBorder="1" applyAlignment="1">
      <alignment horizontal="left" vertical="top" wrapText="1"/>
    </xf>
    <xf numFmtId="0" fontId="3" fillId="0" borderId="15" xfId="0" applyFont="1" applyBorder="1" applyAlignment="1">
      <alignment horizontal="left" vertical="top" wrapText="1"/>
    </xf>
    <xf numFmtId="0" fontId="3" fillId="0" borderId="7" xfId="0" applyFont="1" applyBorder="1" applyAlignment="1">
      <alignment horizontal="left" vertical="top" wrapText="1"/>
    </xf>
    <xf numFmtId="0" fontId="3" fillId="0" borderId="16" xfId="0" applyFont="1" applyBorder="1" applyAlignment="1">
      <alignment horizontal="left" vertical="top" wrapText="1"/>
    </xf>
    <xf numFmtId="0" fontId="3" fillId="0" borderId="13" xfId="0" applyFont="1" applyBorder="1" applyAlignment="1">
      <alignment horizontal="left" vertical="top" wrapText="1"/>
    </xf>
    <xf numFmtId="0" fontId="14" fillId="2" borderId="1" xfId="0" applyFont="1" applyFill="1" applyBorder="1" applyAlignment="1">
      <alignment horizontal="left" vertical="top" wrapText="1"/>
    </xf>
    <xf numFmtId="0" fontId="14" fillId="10" borderId="1" xfId="0" applyFont="1" applyFill="1" applyBorder="1" applyAlignment="1">
      <alignment horizontal="left" vertical="top" wrapText="1"/>
    </xf>
    <xf numFmtId="0" fontId="14" fillId="10" borderId="1" xfId="0" applyFont="1" applyFill="1" applyBorder="1" applyAlignment="1">
      <alignment horizontal="right" vertical="top" wrapText="1"/>
    </xf>
    <xf numFmtId="0" fontId="9" fillId="2" borderId="1" xfId="0" applyFont="1" applyFill="1" applyBorder="1" applyAlignment="1">
      <alignment horizontal="right" vertical="top" wrapText="1"/>
    </xf>
    <xf numFmtId="0" fontId="1" fillId="0" borderId="2" xfId="0" applyFont="1" applyBorder="1" applyAlignment="1">
      <alignment vertical="top" wrapText="1"/>
    </xf>
    <xf numFmtId="0" fontId="8" fillId="10" borderId="3" xfId="0" applyFont="1" applyFill="1" applyBorder="1" applyAlignment="1">
      <alignment horizontal="right" vertical="top" wrapText="1"/>
    </xf>
    <xf numFmtId="0" fontId="3" fillId="0" borderId="18" xfId="0" applyFont="1" applyBorder="1" applyAlignment="1">
      <alignment horizontal="left" vertical="top" wrapText="1"/>
    </xf>
    <xf numFmtId="0" fontId="3" fillId="0" borderId="21" xfId="0" applyFont="1" applyBorder="1" applyAlignment="1">
      <alignment horizontal="left" vertical="top" wrapText="1"/>
    </xf>
    <xf numFmtId="0" fontId="3" fillId="0" borderId="19" xfId="0" applyFont="1" applyBorder="1" applyAlignment="1">
      <alignment horizontal="left" vertical="top" wrapText="1"/>
    </xf>
    <xf numFmtId="0" fontId="3" fillId="0" borderId="1" xfId="0" applyFont="1" applyBorder="1" applyAlignment="1">
      <alignment vertical="center"/>
    </xf>
    <xf numFmtId="0" fontId="3" fillId="0" borderId="1" xfId="0" applyFont="1" applyBorder="1" applyAlignment="1">
      <alignment horizontal="left" vertical="center"/>
    </xf>
    <xf numFmtId="0" fontId="1" fillId="0" borderId="1" xfId="0" applyFont="1" applyBorder="1"/>
    <xf numFmtId="0" fontId="8" fillId="10" borderId="1" xfId="0" applyFont="1" applyFill="1" applyBorder="1" applyAlignment="1">
      <alignment vertical="top" wrapText="1"/>
    </xf>
    <xf numFmtId="0" fontId="8" fillId="8" borderId="1" xfId="0" applyFont="1" applyFill="1" applyBorder="1" applyAlignment="1">
      <alignment vertical="top" wrapText="1"/>
    </xf>
    <xf numFmtId="0" fontId="10" fillId="7" borderId="8" xfId="0" applyFont="1" applyFill="1" applyBorder="1" applyAlignment="1">
      <alignment vertical="top"/>
    </xf>
    <xf numFmtId="0" fontId="10" fillId="7" borderId="0" xfId="0" applyFont="1" applyFill="1" applyAlignment="1">
      <alignment vertical="top"/>
    </xf>
    <xf numFmtId="0" fontId="15" fillId="2" borderId="4" xfId="0" applyFont="1" applyFill="1" applyBorder="1" applyAlignment="1">
      <alignment horizontal="center" vertical="center" wrapText="1"/>
    </xf>
    <xf numFmtId="0" fontId="15" fillId="2" borderId="10" xfId="0" applyFont="1" applyFill="1" applyBorder="1" applyAlignment="1">
      <alignment horizontal="center" vertical="center" wrapText="1"/>
    </xf>
    <xf numFmtId="0" fontId="3" fillId="4" borderId="11" xfId="0" applyFont="1" applyFill="1" applyBorder="1" applyAlignment="1">
      <alignment horizontal="left" vertical="top" wrapText="1"/>
    </xf>
    <xf numFmtId="0" fontId="3" fillId="4" borderId="12" xfId="0" applyFont="1" applyFill="1" applyBorder="1" applyAlignment="1">
      <alignment horizontal="left" vertical="top" wrapText="1"/>
    </xf>
    <xf numFmtId="0" fontId="11" fillId="0" borderId="1" xfId="0" applyFont="1" applyBorder="1" applyAlignment="1">
      <alignment horizontal="center" vertical="center" textRotation="90"/>
    </xf>
    <xf numFmtId="0" fontId="4" fillId="0" borderId="22" xfId="0" applyFont="1" applyBorder="1" applyAlignment="1">
      <alignment horizontal="center" vertical="center" textRotation="90" wrapText="1"/>
    </xf>
    <xf numFmtId="0" fontId="4" fillId="0" borderId="8" xfId="0" applyFont="1" applyBorder="1" applyAlignment="1">
      <alignment horizontal="center" vertical="center" textRotation="90" wrapText="1"/>
    </xf>
    <xf numFmtId="0" fontId="4" fillId="0" borderId="9" xfId="0" applyFont="1" applyBorder="1" applyAlignment="1">
      <alignment horizontal="center" vertical="center" textRotation="90" wrapText="1"/>
    </xf>
    <xf numFmtId="0" fontId="8" fillId="5" borderId="5" xfId="0" applyFont="1" applyFill="1" applyBorder="1" applyAlignment="1">
      <alignment horizontal="right" vertical="top" wrapText="1"/>
    </xf>
    <xf numFmtId="0" fontId="8" fillId="5" borderId="10" xfId="0" applyFont="1" applyFill="1" applyBorder="1" applyAlignment="1">
      <alignment horizontal="right" vertical="top" wrapText="1"/>
    </xf>
    <xf numFmtId="0" fontId="11" fillId="0" borderId="1" xfId="0" applyFont="1" applyBorder="1" applyAlignment="1">
      <alignment horizontal="center" vertical="center" textRotation="90" wrapText="1"/>
    </xf>
    <xf numFmtId="0" fontId="11" fillId="0" borderId="2" xfId="0" applyFont="1" applyBorder="1" applyAlignment="1">
      <alignment horizontal="center" vertical="center" textRotation="90"/>
    </xf>
    <xf numFmtId="0" fontId="11" fillId="0" borderId="6" xfId="0" applyFont="1" applyBorder="1" applyAlignment="1">
      <alignment horizontal="center" vertical="center" textRotation="90"/>
    </xf>
    <xf numFmtId="0" fontId="11" fillId="0" borderId="3" xfId="0" applyFont="1" applyBorder="1" applyAlignment="1">
      <alignment horizontal="center" vertical="center" textRotation="90"/>
    </xf>
    <xf numFmtId="0" fontId="4" fillId="0" borderId="2" xfId="0" applyFont="1" applyBorder="1" applyAlignment="1">
      <alignment horizontal="center" vertical="center" textRotation="90" wrapText="1"/>
    </xf>
    <xf numFmtId="0" fontId="4" fillId="0" borderId="6" xfId="0" applyFont="1" applyBorder="1" applyAlignment="1">
      <alignment horizontal="center" vertical="center" textRotation="90" wrapText="1"/>
    </xf>
    <xf numFmtId="0" fontId="4" fillId="0" borderId="3" xfId="0" applyFont="1" applyBorder="1" applyAlignment="1">
      <alignment horizontal="center" vertical="center" textRotation="90" wrapText="1"/>
    </xf>
    <xf numFmtId="0" fontId="8" fillId="10" borderId="1" xfId="0" applyFont="1" applyFill="1" applyBorder="1" applyAlignment="1">
      <alignment horizontal="right" vertical="top" wrapText="1"/>
    </xf>
    <xf numFmtId="0" fontId="8" fillId="10" borderId="2" xfId="0" applyFont="1" applyFill="1" applyBorder="1" applyAlignment="1">
      <alignment horizontal="right" vertical="top" wrapText="1"/>
    </xf>
    <xf numFmtId="0" fontId="8" fillId="10" borderId="6" xfId="0" applyFont="1" applyFill="1" applyBorder="1" applyAlignment="1">
      <alignment horizontal="right" vertical="top" wrapText="1"/>
    </xf>
    <xf numFmtId="0" fontId="8" fillId="10" borderId="3" xfId="0" applyFont="1" applyFill="1" applyBorder="1" applyAlignment="1">
      <alignment horizontal="right" vertical="top" wrapText="1"/>
    </xf>
    <xf numFmtId="0" fontId="4" fillId="0" borderId="1" xfId="0" applyFont="1" applyBorder="1" applyAlignment="1">
      <alignment horizontal="center" vertical="center" textRotation="90" wrapText="1"/>
    </xf>
    <xf numFmtId="0" fontId="3" fillId="0" borderId="1" xfId="0" applyFont="1" applyBorder="1" applyAlignment="1">
      <alignment horizontal="right" vertical="center"/>
    </xf>
    <xf numFmtId="0" fontId="3" fillId="0" borderId="1" xfId="0" applyFont="1" applyBorder="1" applyAlignment="1">
      <alignment horizontal="center" vertical="center"/>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2" xfId="0" applyFont="1" applyBorder="1" applyAlignment="1">
      <alignment horizontal="right" vertical="center"/>
    </xf>
    <xf numFmtId="0" fontId="3" fillId="0" borderId="3" xfId="0" applyFont="1" applyBorder="1" applyAlignment="1">
      <alignment horizontal="right"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left" vertical="top" wrapText="1"/>
    </xf>
    <xf numFmtId="0" fontId="3" fillId="0" borderId="6" xfId="0" applyFont="1" applyBorder="1" applyAlignment="1">
      <alignment horizontal="left" vertical="top" wrapText="1"/>
    </xf>
    <xf numFmtId="0" fontId="3" fillId="0" borderId="3" xfId="0" applyFont="1" applyBorder="1" applyAlignment="1">
      <alignment horizontal="left" vertical="top" wrapText="1"/>
    </xf>
    <xf numFmtId="0" fontId="3" fillId="0" borderId="2" xfId="0" applyFont="1" applyBorder="1" applyAlignment="1">
      <alignment horizontal="right" vertical="top" wrapText="1"/>
    </xf>
    <xf numFmtId="0" fontId="3" fillId="0" borderId="6" xfId="0" applyFont="1" applyBorder="1" applyAlignment="1">
      <alignment horizontal="right" vertical="top" wrapText="1"/>
    </xf>
    <xf numFmtId="0" fontId="3" fillId="0" borderId="3" xfId="0" applyFont="1" applyBorder="1" applyAlignment="1">
      <alignment horizontal="right" vertical="top" wrapText="1"/>
    </xf>
    <xf numFmtId="0" fontId="8" fillId="8" borderId="2" xfId="0" applyFont="1" applyFill="1" applyBorder="1" applyAlignment="1">
      <alignment horizontal="right" vertical="top" wrapText="1"/>
    </xf>
    <xf numFmtId="0" fontId="8" fillId="8" borderId="6" xfId="0" applyFont="1" applyFill="1" applyBorder="1" applyAlignment="1">
      <alignment horizontal="right" vertical="top" wrapText="1"/>
    </xf>
    <xf numFmtId="0" fontId="8" fillId="8" borderId="3" xfId="0" applyFont="1" applyFill="1" applyBorder="1" applyAlignment="1">
      <alignment horizontal="right" vertical="top" wrapText="1"/>
    </xf>
    <xf numFmtId="0" fontId="8" fillId="8" borderId="1" xfId="0" applyFont="1" applyFill="1" applyBorder="1" applyAlignment="1">
      <alignment horizontal="right" vertical="top" wrapText="1"/>
    </xf>
    <xf numFmtId="0" fontId="1" fillId="0" borderId="1" xfId="0" applyFont="1" applyBorder="1" applyAlignment="1">
      <alignment horizontal="left" vertical="top"/>
    </xf>
    <xf numFmtId="0" fontId="1" fillId="0" borderId="1" xfId="0" applyFont="1" applyBorder="1" applyAlignment="1">
      <alignment horizontal="left" vertical="top" wrapText="1"/>
    </xf>
    <xf numFmtId="0" fontId="1" fillId="0" borderId="2" xfId="0" applyFont="1" applyBorder="1" applyAlignment="1">
      <alignment horizontal="left" vertical="top" wrapText="1"/>
    </xf>
    <xf numFmtId="0" fontId="1" fillId="0" borderId="6" xfId="0" applyFont="1" applyBorder="1" applyAlignment="1">
      <alignment horizontal="left" vertical="top" wrapText="1"/>
    </xf>
    <xf numFmtId="0" fontId="1" fillId="0" borderId="3" xfId="0" applyFont="1" applyBorder="1" applyAlignment="1">
      <alignment horizontal="left" vertical="top" wrapText="1"/>
    </xf>
    <xf numFmtId="0" fontId="3" fillId="0" borderId="1" xfId="0" applyFont="1" applyBorder="1" applyAlignment="1">
      <alignment horizontal="left" vertical="top" wrapText="1"/>
    </xf>
    <xf numFmtId="0" fontId="7" fillId="0" borderId="2" xfId="0" applyFont="1" applyBorder="1" applyAlignment="1">
      <alignment horizontal="left" vertical="top" wrapText="1"/>
    </xf>
    <xf numFmtId="0" fontId="7" fillId="0" borderId="6" xfId="0" applyFont="1" applyBorder="1" applyAlignment="1">
      <alignment horizontal="left" vertical="top" wrapText="1"/>
    </xf>
    <xf numFmtId="0" fontId="7" fillId="0" borderId="3" xfId="0" applyFont="1" applyBorder="1" applyAlignment="1">
      <alignment horizontal="left" vertical="top" wrapText="1"/>
    </xf>
    <xf numFmtId="0" fontId="1" fillId="0" borderId="2" xfId="0" applyFont="1" applyBorder="1" applyAlignment="1">
      <alignment horizontal="left" vertical="top"/>
    </xf>
    <xf numFmtId="0" fontId="1" fillId="0" borderId="6" xfId="0" applyFont="1" applyBorder="1" applyAlignment="1">
      <alignment horizontal="left" vertical="top"/>
    </xf>
    <xf numFmtId="0" fontId="1" fillId="0" borderId="3" xfId="0" applyFont="1" applyBorder="1" applyAlignment="1">
      <alignment horizontal="left" vertical="top"/>
    </xf>
    <xf numFmtId="0" fontId="3" fillId="0" borderId="2" xfId="0" applyFont="1" applyBorder="1" applyAlignment="1">
      <alignment vertical="top"/>
    </xf>
    <xf numFmtId="0" fontId="3" fillId="0" borderId="3" xfId="0" applyFont="1" applyBorder="1" applyAlignment="1">
      <alignment vertical="top"/>
    </xf>
    <xf numFmtId="0" fontId="3" fillId="0" borderId="6" xfId="0" applyFont="1" applyBorder="1" applyAlignment="1">
      <alignment vertical="top"/>
    </xf>
    <xf numFmtId="0" fontId="3" fillId="0" borderId="2" xfId="0" applyFont="1" applyBorder="1" applyAlignment="1">
      <alignment horizontal="left" vertical="center"/>
    </xf>
    <xf numFmtId="0" fontId="3" fillId="0" borderId="3" xfId="0" applyFont="1" applyBorder="1" applyAlignment="1">
      <alignment horizontal="left" vertical="center"/>
    </xf>
    <xf numFmtId="0" fontId="3" fillId="0" borderId="20" xfId="0" applyFont="1" applyBorder="1" applyAlignment="1">
      <alignment horizontal="left"/>
    </xf>
    <xf numFmtId="0" fontId="3" fillId="0" borderId="21" xfId="0" applyFont="1" applyBorder="1" applyAlignment="1">
      <alignment horizontal="left"/>
    </xf>
    <xf numFmtId="0" fontId="3" fillId="13" borderId="21" xfId="0" applyFont="1" applyFill="1" applyBorder="1" applyAlignment="1">
      <alignment horizontal="left" wrapText="1"/>
    </xf>
    <xf numFmtId="0" fontId="3" fillId="13" borderId="1" xfId="0" applyFont="1" applyFill="1" applyBorder="1" applyAlignment="1">
      <alignment horizontal="left" wrapText="1"/>
    </xf>
  </cellXfs>
  <cellStyles count="1">
    <cellStyle name="Normal" xfId="0" builtinId="0"/>
  </cellStyles>
  <dxfs count="0"/>
  <tableStyles count="0" defaultTableStyle="TableStyleMedium2" defaultPivotStyle="PivotStyleLight16"/>
  <colors>
    <mruColors>
      <color rgb="FF00004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B11"/>
  <sheetViews>
    <sheetView showGridLines="0" workbookViewId="0">
      <selection activeCell="E11" sqref="E11"/>
    </sheetView>
  </sheetViews>
  <sheetFormatPr defaultColWidth="9.1796875" defaultRowHeight="14" x14ac:dyDescent="0.35"/>
  <cols>
    <col min="1" max="1" width="40.54296875" style="1" customWidth="1"/>
    <col min="2" max="2" width="48.54296875" style="6" customWidth="1"/>
    <col min="3" max="16384" width="9.1796875" style="1"/>
  </cols>
  <sheetData>
    <row r="1" spans="1:2" ht="21" x14ac:dyDescent="0.35">
      <c r="A1" s="85" t="s">
        <v>634</v>
      </c>
      <c r="B1" s="86"/>
    </row>
    <row r="2" spans="1:2" x14ac:dyDescent="0.35">
      <c r="A2" s="2" t="s">
        <v>0</v>
      </c>
      <c r="B2" s="3" t="s">
        <v>635</v>
      </c>
    </row>
    <row r="3" spans="1:2" x14ac:dyDescent="0.35">
      <c r="A3" s="2"/>
      <c r="B3" s="3"/>
    </row>
    <row r="4" spans="1:2" x14ac:dyDescent="0.35">
      <c r="A4" s="2" t="s">
        <v>1</v>
      </c>
      <c r="B4" s="3" t="s">
        <v>2</v>
      </c>
    </row>
    <row r="5" spans="1:2" x14ac:dyDescent="0.35">
      <c r="A5" s="2"/>
      <c r="B5" s="3"/>
    </row>
    <row r="6" spans="1:2" ht="42" x14ac:dyDescent="0.35">
      <c r="A6" s="2" t="s">
        <v>238</v>
      </c>
      <c r="B6" s="3" t="s">
        <v>3</v>
      </c>
    </row>
    <row r="7" spans="1:2" x14ac:dyDescent="0.35">
      <c r="A7" s="2"/>
      <c r="B7" s="3"/>
    </row>
    <row r="8" spans="1:2" x14ac:dyDescent="0.35">
      <c r="A8" s="4" t="s">
        <v>4</v>
      </c>
      <c r="B8" s="87" t="s">
        <v>636</v>
      </c>
    </row>
    <row r="9" spans="1:2" x14ac:dyDescent="0.35">
      <c r="A9" s="4"/>
      <c r="B9" s="87"/>
    </row>
    <row r="10" spans="1:2" x14ac:dyDescent="0.35">
      <c r="A10" s="4" t="s">
        <v>5</v>
      </c>
      <c r="B10" s="87" t="s">
        <v>317</v>
      </c>
    </row>
    <row r="11" spans="1:2" ht="35.5" customHeight="1" x14ac:dyDescent="0.35">
      <c r="A11" s="5"/>
      <c r="B11" s="88"/>
    </row>
  </sheetData>
  <mergeCells count="3">
    <mergeCell ref="A1:B1"/>
    <mergeCell ref="B8:B9"/>
    <mergeCell ref="B10:B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892D7-0AE2-44CF-8023-ED5CC01F0ECA}">
  <sheetPr>
    <tabColor rgb="FFFF0000"/>
  </sheetPr>
  <dimension ref="A1:H6"/>
  <sheetViews>
    <sheetView showGridLines="0" tabSelected="1" topLeftCell="C1" zoomScaleNormal="100" workbookViewId="0">
      <selection activeCell="D6" sqref="D6"/>
    </sheetView>
  </sheetViews>
  <sheetFormatPr defaultRowHeight="14" x14ac:dyDescent="0.35"/>
  <cols>
    <col min="1" max="1" width="9.54296875" style="6" bestFit="1" customWidth="1"/>
    <col min="2" max="2" width="34" style="6" customWidth="1"/>
    <col min="3" max="3" width="17.54296875" style="1" bestFit="1" customWidth="1"/>
    <col min="4" max="4" width="38" style="1" bestFit="1" customWidth="1"/>
    <col min="5" max="5" width="22.7265625" style="1" bestFit="1" customWidth="1"/>
    <col min="6" max="6" width="32.26953125" style="1" customWidth="1"/>
    <col min="7" max="7" width="35.7265625" style="1" customWidth="1"/>
    <col min="8" max="8" width="26.54296875" style="1" bestFit="1" customWidth="1"/>
    <col min="9" max="16384" width="8.7265625" style="1"/>
  </cols>
  <sheetData>
    <row r="1" spans="1:8" s="33" customFormat="1" ht="20" customHeight="1" x14ac:dyDescent="0.35">
      <c r="A1" s="8" t="s">
        <v>6</v>
      </c>
      <c r="B1" s="8" t="s">
        <v>7</v>
      </c>
      <c r="C1" s="7" t="s">
        <v>8</v>
      </c>
      <c r="D1" s="8" t="s">
        <v>9</v>
      </c>
      <c r="E1" s="8" t="s">
        <v>10</v>
      </c>
      <c r="F1" s="8" t="s">
        <v>11</v>
      </c>
      <c r="G1" s="8" t="s">
        <v>12</v>
      </c>
      <c r="H1" s="8" t="s">
        <v>13</v>
      </c>
    </row>
    <row r="2" spans="1:8" ht="168" x14ac:dyDescent="0.35">
      <c r="A2" s="73" t="s">
        <v>566</v>
      </c>
      <c r="B2" s="10" t="s">
        <v>567</v>
      </c>
      <c r="C2" s="9" t="s">
        <v>568</v>
      </c>
      <c r="D2" s="10" t="s">
        <v>569</v>
      </c>
      <c r="E2" s="10" t="s">
        <v>570</v>
      </c>
      <c r="F2" s="10" t="s">
        <v>573</v>
      </c>
      <c r="G2" s="13" t="s">
        <v>574</v>
      </c>
      <c r="H2" s="10" t="s">
        <v>576</v>
      </c>
    </row>
    <row r="3" spans="1:8" ht="126" x14ac:dyDescent="0.35">
      <c r="A3" s="13" t="s">
        <v>527</v>
      </c>
      <c r="B3" s="13" t="s">
        <v>571</v>
      </c>
      <c r="C3" s="12" t="s">
        <v>572</v>
      </c>
      <c r="D3" s="13" t="s">
        <v>529</v>
      </c>
      <c r="E3" s="13" t="s">
        <v>540</v>
      </c>
      <c r="F3" s="13" t="s">
        <v>530</v>
      </c>
      <c r="G3" s="13" t="s">
        <v>575</v>
      </c>
      <c r="H3" s="13" t="s">
        <v>577</v>
      </c>
    </row>
    <row r="4" spans="1:8" ht="84" x14ac:dyDescent="0.35">
      <c r="A4" s="13" t="s">
        <v>528</v>
      </c>
      <c r="B4" s="13" t="s">
        <v>578</v>
      </c>
      <c r="C4" s="12" t="s">
        <v>579</v>
      </c>
      <c r="D4" s="13" t="s">
        <v>532</v>
      </c>
      <c r="E4" s="13" t="s">
        <v>541</v>
      </c>
      <c r="F4" s="13" t="s">
        <v>531</v>
      </c>
      <c r="G4" s="13" t="s">
        <v>580</v>
      </c>
      <c r="H4" s="13" t="s">
        <v>535</v>
      </c>
    </row>
    <row r="5" spans="1:8" ht="84" x14ac:dyDescent="0.35">
      <c r="A5" s="13" t="s">
        <v>533</v>
      </c>
      <c r="B5" s="13" t="s">
        <v>581</v>
      </c>
      <c r="C5" s="12" t="s">
        <v>545</v>
      </c>
      <c r="D5" s="13" t="s">
        <v>596</v>
      </c>
      <c r="E5" s="13" t="s">
        <v>542</v>
      </c>
      <c r="F5" s="13" t="s">
        <v>593</v>
      </c>
      <c r="G5" s="13" t="s">
        <v>534</v>
      </c>
      <c r="H5" s="13" t="s">
        <v>594</v>
      </c>
    </row>
    <row r="6" spans="1:8" ht="84" x14ac:dyDescent="0.35">
      <c r="A6" s="13" t="s">
        <v>582</v>
      </c>
      <c r="B6" s="13" t="s">
        <v>537</v>
      </c>
      <c r="C6" s="12" t="s">
        <v>583</v>
      </c>
      <c r="D6" s="13" t="s">
        <v>536</v>
      </c>
      <c r="E6" s="13" t="s">
        <v>543</v>
      </c>
      <c r="F6" s="13" t="s">
        <v>539</v>
      </c>
      <c r="G6" s="13" t="s">
        <v>584</v>
      </c>
      <c r="H6" s="13" t="s">
        <v>538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70CC8-4B95-4351-9D0A-53C6E0CE01BB}">
  <sheetPr>
    <tabColor rgb="FF000048"/>
  </sheetPr>
  <dimension ref="A1:K38"/>
  <sheetViews>
    <sheetView showGridLines="0" topLeftCell="E1" zoomScaleNormal="100" workbookViewId="0">
      <pane ySplit="1" topLeftCell="A2" activePane="bottomLeft" state="frozen"/>
      <selection activeCell="B1" sqref="B1"/>
      <selection pane="bottomLeft" activeCell="F34" sqref="F2:F34"/>
    </sheetView>
  </sheetViews>
  <sheetFormatPr defaultColWidth="9.1796875" defaultRowHeight="14" x14ac:dyDescent="0.35"/>
  <cols>
    <col min="1" max="1" width="9.1796875" style="21"/>
    <col min="2" max="2" width="16.54296875" style="21" bestFit="1" customWidth="1"/>
    <col min="3" max="3" width="32.1796875" style="21" customWidth="1"/>
    <col min="4" max="4" width="50.54296875" style="21" customWidth="1"/>
    <col min="5" max="5" width="23.81640625" style="21" customWidth="1"/>
    <col min="6" max="6" width="15.453125" style="32" bestFit="1" customWidth="1"/>
    <col min="7" max="7" width="15.453125" style="32" customWidth="1"/>
    <col min="8" max="8" width="14.26953125" style="21" customWidth="1"/>
    <col min="9" max="9" width="13.7265625" style="21" customWidth="1"/>
    <col min="10" max="10" width="16.1796875" style="32" customWidth="1"/>
    <col min="11" max="11" width="15.1796875" style="21" customWidth="1"/>
    <col min="12" max="16384" width="9.1796875" style="21"/>
  </cols>
  <sheetData>
    <row r="1" spans="1:11" s="16" customFormat="1" ht="42" x14ac:dyDescent="0.35">
      <c r="A1" s="14" t="s">
        <v>628</v>
      </c>
      <c r="B1" s="14" t="s">
        <v>239</v>
      </c>
      <c r="C1" s="14" t="s">
        <v>17</v>
      </c>
      <c r="D1" s="14" t="s">
        <v>18</v>
      </c>
      <c r="E1" s="14" t="s">
        <v>19</v>
      </c>
      <c r="F1" s="14" t="s">
        <v>20</v>
      </c>
      <c r="G1" s="15" t="s">
        <v>21</v>
      </c>
      <c r="H1" s="14" t="s">
        <v>22</v>
      </c>
      <c r="I1" s="14" t="s">
        <v>23</v>
      </c>
      <c r="J1" s="15" t="s">
        <v>279</v>
      </c>
      <c r="K1" s="14" t="s">
        <v>280</v>
      </c>
    </row>
    <row r="2" spans="1:11" x14ac:dyDescent="0.35">
      <c r="A2" s="95" t="s">
        <v>629</v>
      </c>
      <c r="B2" s="100" t="s">
        <v>309</v>
      </c>
      <c r="C2" s="17" t="s">
        <v>302</v>
      </c>
      <c r="D2" s="18" t="s">
        <v>316</v>
      </c>
      <c r="E2" s="115" t="s">
        <v>565</v>
      </c>
      <c r="F2" s="118">
        <v>40</v>
      </c>
      <c r="G2" s="19">
        <f t="shared" ref="G2:G8" si="0">ROUND(F2/9,2)</f>
        <v>4.4400000000000004</v>
      </c>
      <c r="H2" s="18" t="s">
        <v>26</v>
      </c>
      <c r="I2" s="18"/>
      <c r="J2" s="104">
        <f>40+F5</f>
        <v>45</v>
      </c>
      <c r="K2" s="122">
        <f>ROUND(J2/45,2)</f>
        <v>1</v>
      </c>
    </row>
    <row r="3" spans="1:11" s="16" customFormat="1" x14ac:dyDescent="0.35">
      <c r="A3" s="95"/>
      <c r="B3" s="100"/>
      <c r="C3" s="17" t="s">
        <v>288</v>
      </c>
      <c r="D3" s="20" t="s">
        <v>284</v>
      </c>
      <c r="E3" s="116"/>
      <c r="F3" s="119"/>
      <c r="G3" s="19">
        <f t="shared" si="0"/>
        <v>0</v>
      </c>
      <c r="H3" s="20" t="s">
        <v>26</v>
      </c>
      <c r="I3" s="20"/>
      <c r="J3" s="104"/>
      <c r="K3" s="122"/>
    </row>
    <row r="4" spans="1:11" s="16" customFormat="1" x14ac:dyDescent="0.35">
      <c r="A4" s="95"/>
      <c r="B4" s="100"/>
      <c r="C4" s="22" t="s">
        <v>289</v>
      </c>
      <c r="D4" s="20" t="s">
        <v>481</v>
      </c>
      <c r="E4" s="117"/>
      <c r="F4" s="120"/>
      <c r="G4" s="19">
        <f t="shared" si="0"/>
        <v>0</v>
      </c>
      <c r="H4" s="20" t="s">
        <v>26</v>
      </c>
      <c r="I4" s="20"/>
      <c r="J4" s="104"/>
      <c r="K4" s="122"/>
    </row>
    <row r="5" spans="1:11" s="16" customFormat="1" x14ac:dyDescent="0.35">
      <c r="A5" s="95"/>
      <c r="B5" s="100"/>
      <c r="C5" s="43" t="s">
        <v>271</v>
      </c>
      <c r="D5" s="43" t="s">
        <v>43</v>
      </c>
      <c r="E5" s="43" t="s">
        <v>30</v>
      </c>
      <c r="F5" s="44">
        <v>5</v>
      </c>
      <c r="G5" s="19">
        <f t="shared" si="0"/>
        <v>0.56000000000000005</v>
      </c>
      <c r="H5" s="20" t="s">
        <v>25</v>
      </c>
      <c r="I5" s="20"/>
      <c r="J5" s="104"/>
      <c r="K5" s="122"/>
    </row>
    <row r="6" spans="1:11" s="16" customFormat="1" ht="28" x14ac:dyDescent="0.35">
      <c r="A6" s="89" t="s">
        <v>630</v>
      </c>
      <c r="B6" s="99" t="s">
        <v>267</v>
      </c>
      <c r="C6" s="17" t="s">
        <v>290</v>
      </c>
      <c r="D6" s="18" t="s">
        <v>24</v>
      </c>
      <c r="E6" s="18" t="s">
        <v>44</v>
      </c>
      <c r="F6" s="19">
        <v>9</v>
      </c>
      <c r="G6" s="19">
        <f t="shared" si="0"/>
        <v>1</v>
      </c>
      <c r="H6" s="18" t="s">
        <v>26</v>
      </c>
      <c r="I6" s="20"/>
      <c r="J6" s="103">
        <f>SUM(F6:F13)</f>
        <v>136</v>
      </c>
      <c r="K6" s="121">
        <f>ROUND(J6/45,2)</f>
        <v>3.02</v>
      </c>
    </row>
    <row r="7" spans="1:11" s="16" customFormat="1" x14ac:dyDescent="0.35">
      <c r="A7" s="89"/>
      <c r="B7" s="100"/>
      <c r="C7" s="17" t="s">
        <v>307</v>
      </c>
      <c r="D7" s="18" t="s">
        <v>308</v>
      </c>
      <c r="E7" s="18" t="s">
        <v>44</v>
      </c>
      <c r="F7" s="19">
        <v>9</v>
      </c>
      <c r="G7" s="19">
        <f t="shared" si="0"/>
        <v>1</v>
      </c>
      <c r="H7" s="18" t="s">
        <v>26</v>
      </c>
      <c r="I7" s="20"/>
      <c r="J7" s="104"/>
      <c r="K7" s="122"/>
    </row>
    <row r="8" spans="1:11" s="16" customFormat="1" x14ac:dyDescent="0.35">
      <c r="A8" s="89"/>
      <c r="B8" s="100"/>
      <c r="C8" s="17" t="s">
        <v>291</v>
      </c>
      <c r="D8" s="18" t="s">
        <v>281</v>
      </c>
      <c r="E8" s="18" t="s">
        <v>44</v>
      </c>
      <c r="F8" s="19">
        <v>9</v>
      </c>
      <c r="G8" s="19">
        <f t="shared" si="0"/>
        <v>1</v>
      </c>
      <c r="H8" s="18" t="s">
        <v>26</v>
      </c>
      <c r="I8" s="20"/>
      <c r="J8" s="104"/>
      <c r="K8" s="122"/>
    </row>
    <row r="9" spans="1:11" ht="28" x14ac:dyDescent="0.35">
      <c r="A9" s="89"/>
      <c r="B9" s="100"/>
      <c r="C9" s="17" t="s">
        <v>292</v>
      </c>
      <c r="D9" s="17" t="s">
        <v>282</v>
      </c>
      <c r="E9" s="18" t="s">
        <v>44</v>
      </c>
      <c r="F9" s="24">
        <v>18</v>
      </c>
      <c r="G9" s="19">
        <f t="shared" ref="G9:G32" si="1">ROUND(F9/9,2)</f>
        <v>2</v>
      </c>
      <c r="H9" s="20" t="s">
        <v>26</v>
      </c>
      <c r="I9" s="18"/>
      <c r="J9" s="104"/>
      <c r="K9" s="122"/>
    </row>
    <row r="10" spans="1:11" ht="14.5" customHeight="1" x14ac:dyDescent="0.35">
      <c r="A10" s="89"/>
      <c r="B10" s="100"/>
      <c r="C10" s="17" t="s">
        <v>293</v>
      </c>
      <c r="D10" s="20" t="s">
        <v>283</v>
      </c>
      <c r="E10" s="20" t="s">
        <v>44</v>
      </c>
      <c r="F10" s="19">
        <v>18</v>
      </c>
      <c r="G10" s="19">
        <f t="shared" si="1"/>
        <v>2</v>
      </c>
      <c r="H10" s="20" t="s">
        <v>26</v>
      </c>
      <c r="I10" s="18"/>
      <c r="J10" s="104"/>
      <c r="K10" s="122"/>
    </row>
    <row r="11" spans="1:11" x14ac:dyDescent="0.35">
      <c r="A11" s="89"/>
      <c r="B11" s="100"/>
      <c r="C11" s="17" t="s">
        <v>294</v>
      </c>
      <c r="D11" s="18" t="s">
        <v>28</v>
      </c>
      <c r="E11" s="18" t="s">
        <v>44</v>
      </c>
      <c r="F11" s="19">
        <f>4*9</f>
        <v>36</v>
      </c>
      <c r="G11" s="19">
        <f t="shared" si="1"/>
        <v>4</v>
      </c>
      <c r="H11" s="18" t="s">
        <v>26</v>
      </c>
      <c r="I11" s="18"/>
      <c r="J11" s="104"/>
      <c r="K11" s="122"/>
    </row>
    <row r="12" spans="1:11" x14ac:dyDescent="0.35">
      <c r="A12" s="89"/>
      <c r="B12" s="100"/>
      <c r="C12" s="17" t="s">
        <v>295</v>
      </c>
      <c r="D12" s="18" t="s">
        <v>29</v>
      </c>
      <c r="E12" s="18" t="s">
        <v>44</v>
      </c>
      <c r="F12" s="19">
        <v>36</v>
      </c>
      <c r="G12" s="19">
        <f t="shared" si="1"/>
        <v>4</v>
      </c>
      <c r="H12" s="18" t="s">
        <v>26</v>
      </c>
      <c r="I12" s="18"/>
      <c r="J12" s="104"/>
      <c r="K12" s="122"/>
    </row>
    <row r="13" spans="1:11" ht="28" x14ac:dyDescent="0.35">
      <c r="A13" s="89"/>
      <c r="B13" s="101"/>
      <c r="C13" s="43" t="s">
        <v>272</v>
      </c>
      <c r="D13" s="43" t="s">
        <v>273</v>
      </c>
      <c r="E13" s="43" t="s">
        <v>30</v>
      </c>
      <c r="F13" s="44">
        <v>1</v>
      </c>
      <c r="G13" s="19">
        <f t="shared" si="1"/>
        <v>0.11</v>
      </c>
      <c r="H13" s="18" t="s">
        <v>332</v>
      </c>
      <c r="I13" s="18"/>
      <c r="J13" s="105"/>
      <c r="K13" s="123"/>
    </row>
    <row r="14" spans="1:11" x14ac:dyDescent="0.35">
      <c r="A14" s="89" t="s">
        <v>631</v>
      </c>
      <c r="B14" s="106" t="s">
        <v>268</v>
      </c>
      <c r="C14" s="17" t="s">
        <v>296</v>
      </c>
      <c r="D14" s="20" t="s">
        <v>31</v>
      </c>
      <c r="E14" s="18" t="s">
        <v>44</v>
      </c>
      <c r="F14" s="19">
        <v>54</v>
      </c>
      <c r="G14" s="19">
        <f t="shared" si="1"/>
        <v>6</v>
      </c>
      <c r="H14" s="18" t="s">
        <v>26</v>
      </c>
      <c r="I14" s="18"/>
      <c r="J14" s="103">
        <f>SUM(F14:F18)</f>
        <v>108</v>
      </c>
      <c r="K14" s="121">
        <f>ROUND(J14/45,2)</f>
        <v>2.4</v>
      </c>
    </row>
    <row r="15" spans="1:11" x14ac:dyDescent="0.35">
      <c r="A15" s="89"/>
      <c r="B15" s="106"/>
      <c r="C15" s="17" t="s">
        <v>298</v>
      </c>
      <c r="D15" s="20" t="s">
        <v>107</v>
      </c>
      <c r="E15" s="18" t="s">
        <v>44</v>
      </c>
      <c r="F15" s="19">
        <v>9</v>
      </c>
      <c r="G15" s="19">
        <f t="shared" si="1"/>
        <v>1</v>
      </c>
      <c r="H15" s="18" t="s">
        <v>26</v>
      </c>
      <c r="I15" s="18"/>
      <c r="J15" s="104"/>
      <c r="K15" s="122"/>
    </row>
    <row r="16" spans="1:11" ht="28" x14ac:dyDescent="0.35">
      <c r="A16" s="89"/>
      <c r="B16" s="106"/>
      <c r="C16" s="17" t="s">
        <v>304</v>
      </c>
      <c r="D16" s="20" t="s">
        <v>34</v>
      </c>
      <c r="E16" s="18" t="s">
        <v>44</v>
      </c>
      <c r="F16" s="19">
        <v>18</v>
      </c>
      <c r="G16" s="19">
        <f>F16/9</f>
        <v>2</v>
      </c>
      <c r="H16" s="18" t="s">
        <v>26</v>
      </c>
      <c r="I16" s="18"/>
      <c r="J16" s="104"/>
      <c r="K16" s="122"/>
    </row>
    <row r="17" spans="1:11" x14ac:dyDescent="0.35">
      <c r="A17" s="89"/>
      <c r="B17" s="106"/>
      <c r="C17" s="17" t="s">
        <v>299</v>
      </c>
      <c r="D17" s="18" t="s">
        <v>35</v>
      </c>
      <c r="E17" s="18" t="s">
        <v>44</v>
      </c>
      <c r="F17" s="19">
        <v>9</v>
      </c>
      <c r="G17" s="19">
        <f t="shared" ref="G17:G24" si="2">ROUND(F17/9,2)</f>
        <v>1</v>
      </c>
      <c r="H17" s="18" t="s">
        <v>26</v>
      </c>
      <c r="I17" s="18"/>
      <c r="J17" s="104"/>
      <c r="K17" s="122"/>
    </row>
    <row r="18" spans="1:11" x14ac:dyDescent="0.35">
      <c r="A18" s="89"/>
      <c r="B18" s="106"/>
      <c r="C18" s="69" t="s">
        <v>313</v>
      </c>
      <c r="D18" s="69" t="s">
        <v>15</v>
      </c>
      <c r="E18" s="69" t="s">
        <v>276</v>
      </c>
      <c r="F18" s="72">
        <v>18</v>
      </c>
      <c r="G18" s="23">
        <f t="shared" si="2"/>
        <v>2</v>
      </c>
      <c r="H18" s="23"/>
      <c r="I18" s="23" t="s">
        <v>26</v>
      </c>
      <c r="J18" s="105"/>
      <c r="K18" s="123"/>
    </row>
    <row r="19" spans="1:11" x14ac:dyDescent="0.35">
      <c r="A19" s="89"/>
      <c r="B19" s="99" t="s">
        <v>269</v>
      </c>
      <c r="C19" s="17" t="s">
        <v>297</v>
      </c>
      <c r="D19" s="20" t="s">
        <v>32</v>
      </c>
      <c r="E19" s="18" t="s">
        <v>44</v>
      </c>
      <c r="F19" s="19">
        <v>54</v>
      </c>
      <c r="G19" s="19">
        <f t="shared" si="2"/>
        <v>6</v>
      </c>
      <c r="H19" s="18" t="s">
        <v>26</v>
      </c>
      <c r="I19" s="18"/>
      <c r="J19" s="103">
        <f>SUM(F19:F21)</f>
        <v>86</v>
      </c>
      <c r="K19" s="121">
        <f>ROUND(J19/45,2)</f>
        <v>1.91</v>
      </c>
    </row>
    <row r="20" spans="1:11" ht="38.5" customHeight="1" x14ac:dyDescent="0.35">
      <c r="A20" s="89"/>
      <c r="B20" s="100"/>
      <c r="C20" s="18" t="s">
        <v>305</v>
      </c>
      <c r="D20" s="18" t="s">
        <v>39</v>
      </c>
      <c r="E20" s="18" t="s">
        <v>44</v>
      </c>
      <c r="F20" s="19">
        <v>14</v>
      </c>
      <c r="G20" s="19">
        <f t="shared" si="2"/>
        <v>1.56</v>
      </c>
      <c r="H20" s="18" t="s">
        <v>26</v>
      </c>
      <c r="I20" s="18"/>
      <c r="J20" s="104"/>
      <c r="K20" s="122"/>
    </row>
    <row r="21" spans="1:11" ht="38.5" customHeight="1" x14ac:dyDescent="0.35">
      <c r="A21" s="89"/>
      <c r="B21" s="101"/>
      <c r="C21" s="45" t="s">
        <v>314</v>
      </c>
      <c r="D21" s="45" t="s">
        <v>315</v>
      </c>
      <c r="E21" s="43" t="s">
        <v>44</v>
      </c>
      <c r="F21" s="44">
        <v>18</v>
      </c>
      <c r="G21" s="19">
        <f t="shared" si="2"/>
        <v>2</v>
      </c>
      <c r="H21" s="18" t="s">
        <v>26</v>
      </c>
      <c r="I21" s="18"/>
      <c r="J21" s="105"/>
      <c r="K21" s="123"/>
    </row>
    <row r="22" spans="1:11" ht="14" customHeight="1" x14ac:dyDescent="0.35">
      <c r="A22" s="96" t="s">
        <v>632</v>
      </c>
      <c r="B22" s="99" t="s">
        <v>33</v>
      </c>
      <c r="C22" s="17" t="s">
        <v>312</v>
      </c>
      <c r="D22" s="18" t="s">
        <v>285</v>
      </c>
      <c r="E22" s="18" t="s">
        <v>44</v>
      </c>
      <c r="F22" s="19">
        <v>9</v>
      </c>
      <c r="G22" s="19">
        <f t="shared" si="2"/>
        <v>1</v>
      </c>
      <c r="H22" s="18"/>
      <c r="I22" s="18"/>
      <c r="J22" s="102">
        <f>SUM(F22:F26)</f>
        <v>113</v>
      </c>
      <c r="K22" s="124">
        <f>ROUND(J22/45,2)</f>
        <v>2.5099999999999998</v>
      </c>
    </row>
    <row r="23" spans="1:11" x14ac:dyDescent="0.35">
      <c r="A23" s="97"/>
      <c r="B23" s="100"/>
      <c r="C23" s="17" t="s">
        <v>302</v>
      </c>
      <c r="D23" s="18" t="s">
        <v>544</v>
      </c>
      <c r="E23" s="18" t="s">
        <v>44</v>
      </c>
      <c r="F23" s="19">
        <v>9</v>
      </c>
      <c r="G23" s="19">
        <f t="shared" si="2"/>
        <v>1</v>
      </c>
      <c r="H23" s="18"/>
      <c r="I23" s="18"/>
      <c r="J23" s="102"/>
      <c r="K23" s="124"/>
    </row>
    <row r="24" spans="1:11" x14ac:dyDescent="0.35">
      <c r="A24" s="97"/>
      <c r="B24" s="100"/>
      <c r="C24" s="17" t="s">
        <v>311</v>
      </c>
      <c r="D24" s="18" t="s">
        <v>310</v>
      </c>
      <c r="E24" s="18"/>
      <c r="F24" s="19">
        <v>9</v>
      </c>
      <c r="G24" s="19">
        <f t="shared" si="2"/>
        <v>1</v>
      </c>
      <c r="H24" s="18"/>
      <c r="I24" s="18"/>
      <c r="J24" s="102"/>
      <c r="K24" s="124"/>
    </row>
    <row r="25" spans="1:11" x14ac:dyDescent="0.35">
      <c r="A25" s="97"/>
      <c r="B25" s="100"/>
      <c r="C25" s="17" t="s">
        <v>303</v>
      </c>
      <c r="D25" s="18" t="s">
        <v>595</v>
      </c>
      <c r="E25" s="18" t="s">
        <v>44</v>
      </c>
      <c r="F25" s="19">
        <v>81</v>
      </c>
      <c r="G25" s="19">
        <f t="shared" si="1"/>
        <v>9</v>
      </c>
      <c r="H25" s="18"/>
      <c r="I25" s="18"/>
      <c r="J25" s="102"/>
      <c r="K25" s="124"/>
    </row>
    <row r="26" spans="1:11" x14ac:dyDescent="0.35">
      <c r="A26" s="97"/>
      <c r="B26" s="101"/>
      <c r="C26" s="17" t="s">
        <v>298</v>
      </c>
      <c r="D26" s="18" t="s">
        <v>27</v>
      </c>
      <c r="E26" s="18" t="s">
        <v>286</v>
      </c>
      <c r="F26" s="19">
        <v>5</v>
      </c>
      <c r="G26" s="19">
        <f t="shared" si="1"/>
        <v>0.56000000000000005</v>
      </c>
      <c r="H26" s="18"/>
      <c r="I26" s="18"/>
      <c r="J26" s="102"/>
      <c r="K26" s="124"/>
    </row>
    <row r="27" spans="1:11" ht="28" x14ac:dyDescent="0.35">
      <c r="A27" s="97"/>
      <c r="B27" s="106" t="s">
        <v>38</v>
      </c>
      <c r="C27" s="17" t="s">
        <v>300</v>
      </c>
      <c r="D27" s="18" t="s">
        <v>36</v>
      </c>
      <c r="E27" s="18" t="s">
        <v>44</v>
      </c>
      <c r="F27" s="19">
        <v>9</v>
      </c>
      <c r="G27" s="19">
        <f>ROUND(F27/9,2)</f>
        <v>1</v>
      </c>
      <c r="H27" s="18" t="s">
        <v>25</v>
      </c>
      <c r="I27" s="18"/>
      <c r="J27" s="102">
        <f>SUM(F27:F30)</f>
        <v>90</v>
      </c>
      <c r="K27" s="124">
        <f>ROUND(J27/45,2)</f>
        <v>2</v>
      </c>
    </row>
    <row r="28" spans="1:11" x14ac:dyDescent="0.35">
      <c r="A28" s="97"/>
      <c r="B28" s="106"/>
      <c r="C28" s="17" t="s">
        <v>301</v>
      </c>
      <c r="D28" s="18" t="s">
        <v>37</v>
      </c>
      <c r="E28" s="18" t="s">
        <v>44</v>
      </c>
      <c r="F28" s="19">
        <v>9</v>
      </c>
      <c r="G28" s="19">
        <f>ROUND(F28/9,2)</f>
        <v>1</v>
      </c>
      <c r="H28" s="18" t="s">
        <v>26</v>
      </c>
      <c r="I28" s="18"/>
      <c r="J28" s="102"/>
      <c r="K28" s="124"/>
    </row>
    <row r="29" spans="1:11" x14ac:dyDescent="0.35">
      <c r="A29" s="97"/>
      <c r="B29" s="106"/>
      <c r="C29" s="18" t="s">
        <v>306</v>
      </c>
      <c r="D29" s="18" t="s">
        <v>287</v>
      </c>
      <c r="E29" s="18" t="s">
        <v>44</v>
      </c>
      <c r="F29" s="19">
        <v>45</v>
      </c>
      <c r="G29" s="19">
        <f t="shared" si="1"/>
        <v>5</v>
      </c>
      <c r="H29" s="18" t="s">
        <v>25</v>
      </c>
      <c r="I29" s="18"/>
      <c r="J29" s="102"/>
      <c r="K29" s="124"/>
    </row>
    <row r="30" spans="1:11" ht="14" customHeight="1" x14ac:dyDescent="0.35">
      <c r="A30" s="98"/>
      <c r="B30" s="106"/>
      <c r="C30" s="69" t="s">
        <v>313</v>
      </c>
      <c r="D30" s="69" t="s">
        <v>16</v>
      </c>
      <c r="E30" s="69" t="s">
        <v>276</v>
      </c>
      <c r="F30" s="72">
        <v>27</v>
      </c>
      <c r="G30" s="23">
        <f t="shared" si="1"/>
        <v>3</v>
      </c>
      <c r="H30" s="23"/>
      <c r="I30" s="23" t="s">
        <v>26</v>
      </c>
      <c r="J30" s="102"/>
      <c r="K30" s="124"/>
    </row>
    <row r="31" spans="1:11" ht="14.5" customHeight="1" x14ac:dyDescent="0.35">
      <c r="A31" s="89" t="s">
        <v>49</v>
      </c>
      <c r="B31" s="90" t="s">
        <v>633</v>
      </c>
      <c r="C31" s="70" t="s">
        <v>40</v>
      </c>
      <c r="D31" s="70" t="s">
        <v>278</v>
      </c>
      <c r="E31" s="70" t="s">
        <v>277</v>
      </c>
      <c r="F31" s="71">
        <v>9</v>
      </c>
      <c r="G31" s="71">
        <f t="shared" si="1"/>
        <v>1</v>
      </c>
      <c r="H31" s="71"/>
      <c r="I31" s="71" t="s">
        <v>26</v>
      </c>
      <c r="J31" s="25">
        <f>F31</f>
        <v>9</v>
      </c>
      <c r="K31" s="26">
        <f>ROUND(J31/45,2)</f>
        <v>0.2</v>
      </c>
    </row>
    <row r="32" spans="1:11" ht="14" customHeight="1" x14ac:dyDescent="0.35">
      <c r="A32" s="89"/>
      <c r="B32" s="91"/>
      <c r="C32" s="18" t="s">
        <v>41</v>
      </c>
      <c r="D32" s="18" t="s">
        <v>42</v>
      </c>
      <c r="E32" s="18" t="s">
        <v>44</v>
      </c>
      <c r="F32" s="19">
        <v>40</v>
      </c>
      <c r="G32" s="19">
        <f t="shared" si="1"/>
        <v>4.4400000000000004</v>
      </c>
      <c r="H32" s="18" t="s">
        <v>26</v>
      </c>
      <c r="I32" s="18"/>
      <c r="J32" s="81">
        <f>F32</f>
        <v>40</v>
      </c>
      <c r="K32" s="82">
        <f>ROUND(J32/45,2)</f>
        <v>0.89</v>
      </c>
    </row>
    <row r="33" spans="1:11" x14ac:dyDescent="0.35">
      <c r="A33" s="89"/>
      <c r="B33" s="91"/>
      <c r="C33" s="18" t="s">
        <v>45</v>
      </c>
      <c r="D33" s="18" t="s">
        <v>46</v>
      </c>
      <c r="E33" s="18" t="s">
        <v>270</v>
      </c>
      <c r="F33" s="19">
        <v>12</v>
      </c>
      <c r="G33" s="24">
        <f>ROUND(F33/9,2)</f>
        <v>1.33</v>
      </c>
      <c r="H33" s="18" t="s">
        <v>25</v>
      </c>
      <c r="I33" s="18"/>
      <c r="J33" s="81">
        <f>F33</f>
        <v>12</v>
      </c>
      <c r="K33" s="82">
        <f>ROUND(J33/45,2)</f>
        <v>0.27</v>
      </c>
    </row>
    <row r="34" spans="1:11" x14ac:dyDescent="0.35">
      <c r="A34" s="89"/>
      <c r="B34" s="91"/>
      <c r="C34" s="18" t="s">
        <v>627</v>
      </c>
      <c r="D34" s="18" t="s">
        <v>627</v>
      </c>
      <c r="E34" s="18" t="s">
        <v>270</v>
      </c>
      <c r="F34" s="24">
        <v>2</v>
      </c>
      <c r="G34" s="24">
        <f>ROUND(F34/9,2)</f>
        <v>0.22</v>
      </c>
      <c r="H34" s="18"/>
      <c r="I34" s="18"/>
      <c r="J34" s="74">
        <f>F34</f>
        <v>2</v>
      </c>
      <c r="K34" s="82">
        <f>ROUND(J34/45,2)</f>
        <v>0.04</v>
      </c>
    </row>
    <row r="35" spans="1:11" ht="14" customHeight="1" x14ac:dyDescent="0.35">
      <c r="A35" s="89"/>
      <c r="B35" s="91"/>
      <c r="C35" s="93" t="s">
        <v>47</v>
      </c>
      <c r="D35" s="93"/>
      <c r="E35" s="93"/>
      <c r="F35" s="93"/>
      <c r="G35" s="93"/>
      <c r="H35" s="93"/>
      <c r="I35" s="94"/>
      <c r="J35" s="28">
        <f>SUM(J2:J34)</f>
        <v>641</v>
      </c>
      <c r="K35" s="28">
        <f>SUM(K2:K34)</f>
        <v>14.239999999999998</v>
      </c>
    </row>
    <row r="36" spans="1:11" x14ac:dyDescent="0.35">
      <c r="A36" s="89"/>
      <c r="B36" s="91"/>
      <c r="C36" s="83" t="s">
        <v>48</v>
      </c>
      <c r="D36" s="84"/>
      <c r="E36" s="84"/>
      <c r="F36" s="84"/>
      <c r="G36" s="84"/>
      <c r="H36" s="84"/>
      <c r="I36" s="84"/>
      <c r="J36" s="84"/>
      <c r="K36" s="84"/>
    </row>
    <row r="37" spans="1:11" x14ac:dyDescent="0.35">
      <c r="A37" s="89"/>
      <c r="B37" s="91"/>
      <c r="C37" s="109" t="s">
        <v>50</v>
      </c>
      <c r="D37" s="18" t="s">
        <v>51</v>
      </c>
      <c r="E37" s="29" t="s">
        <v>30</v>
      </c>
      <c r="F37" s="111"/>
      <c r="G37" s="30"/>
      <c r="H37" s="113"/>
      <c r="I37" s="109"/>
      <c r="J37" s="107"/>
      <c r="K37" s="108"/>
    </row>
    <row r="38" spans="1:11" x14ac:dyDescent="0.35">
      <c r="A38" s="89"/>
      <c r="B38" s="92"/>
      <c r="C38" s="110"/>
      <c r="D38" s="18" t="s">
        <v>52</v>
      </c>
      <c r="E38" s="29" t="s">
        <v>30</v>
      </c>
      <c r="F38" s="112"/>
      <c r="G38" s="31"/>
      <c r="H38" s="114"/>
      <c r="I38" s="110"/>
      <c r="J38" s="107"/>
      <c r="K38" s="108"/>
    </row>
  </sheetData>
  <mergeCells count="33">
    <mergeCell ref="K19:K21"/>
    <mergeCell ref="K27:K30"/>
    <mergeCell ref="J2:J5"/>
    <mergeCell ref="K2:K5"/>
    <mergeCell ref="K14:K18"/>
    <mergeCell ref="J22:J26"/>
    <mergeCell ref="K22:K26"/>
    <mergeCell ref="K6:K13"/>
    <mergeCell ref="J14:J18"/>
    <mergeCell ref="K37:K38"/>
    <mergeCell ref="C37:C38"/>
    <mergeCell ref="F37:F38"/>
    <mergeCell ref="H37:H38"/>
    <mergeCell ref="I37:I38"/>
    <mergeCell ref="J27:J30"/>
    <mergeCell ref="B6:B13"/>
    <mergeCell ref="J6:J13"/>
    <mergeCell ref="B27:B30"/>
    <mergeCell ref="J37:J38"/>
    <mergeCell ref="J19:J21"/>
    <mergeCell ref="B14:B18"/>
    <mergeCell ref="A31:A38"/>
    <mergeCell ref="B31:B38"/>
    <mergeCell ref="C35:I35"/>
    <mergeCell ref="A2:A5"/>
    <mergeCell ref="A6:A13"/>
    <mergeCell ref="A14:A21"/>
    <mergeCell ref="A22:A30"/>
    <mergeCell ref="B22:B26"/>
    <mergeCell ref="B19:B21"/>
    <mergeCell ref="E2:E4"/>
    <mergeCell ref="F2:F4"/>
    <mergeCell ref="B2:B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B7"/>
  <sheetViews>
    <sheetView showGridLines="0" workbookViewId="0">
      <pane ySplit="1" topLeftCell="A5" activePane="bottomLeft" state="frozen"/>
      <selection pane="bottomLeft" activeCell="B6" sqref="B6"/>
    </sheetView>
  </sheetViews>
  <sheetFormatPr defaultRowHeight="14" x14ac:dyDescent="0.3"/>
  <cols>
    <col min="1" max="1" width="23.6328125" style="11" customWidth="1"/>
    <col min="2" max="2" width="100.36328125" style="11" customWidth="1"/>
    <col min="3" max="16384" width="8.7265625" style="11"/>
  </cols>
  <sheetData>
    <row r="1" spans="1:2" ht="20.149999999999999" customHeight="1" x14ac:dyDescent="0.3">
      <c r="A1" s="37" t="s">
        <v>266</v>
      </c>
      <c r="B1" s="38" t="s">
        <v>53</v>
      </c>
    </row>
    <row r="2" spans="1:2" ht="140" x14ac:dyDescent="0.3">
      <c r="A2" s="34" t="s">
        <v>587</v>
      </c>
      <c r="B2" s="20" t="s">
        <v>586</v>
      </c>
    </row>
    <row r="3" spans="1:2" ht="280" x14ac:dyDescent="0.3">
      <c r="A3" s="34" t="s">
        <v>267</v>
      </c>
      <c r="B3" s="20" t="s">
        <v>585</v>
      </c>
    </row>
    <row r="4" spans="1:2" ht="168" x14ac:dyDescent="0.3">
      <c r="A4" s="34" t="s">
        <v>268</v>
      </c>
      <c r="B4" s="20" t="s">
        <v>318</v>
      </c>
    </row>
    <row r="5" spans="1:2" ht="98" x14ac:dyDescent="0.3">
      <c r="A5" s="35" t="s">
        <v>269</v>
      </c>
      <c r="B5" s="18" t="s">
        <v>319</v>
      </c>
    </row>
    <row r="6" spans="1:2" ht="154" x14ac:dyDescent="0.3">
      <c r="A6" s="35" t="s">
        <v>33</v>
      </c>
      <c r="B6" s="36" t="s">
        <v>597</v>
      </c>
    </row>
    <row r="7" spans="1:2" ht="140" x14ac:dyDescent="0.3">
      <c r="A7" s="35" t="s">
        <v>38</v>
      </c>
      <c r="B7" s="40" t="s">
        <v>320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C0"/>
  </sheetPr>
  <dimension ref="A1:C49"/>
  <sheetViews>
    <sheetView showGridLines="0" workbookViewId="0">
      <pane ySplit="1" topLeftCell="A48" activePane="bottomLeft" state="frozen"/>
      <selection pane="bottomLeft" activeCell="F5" sqref="F5"/>
    </sheetView>
  </sheetViews>
  <sheetFormatPr defaultColWidth="9.1796875" defaultRowHeight="14" x14ac:dyDescent="0.35"/>
  <cols>
    <col min="1" max="1" width="20.7265625" style="1" customWidth="1"/>
    <col min="2" max="2" width="30.7265625" style="6" customWidth="1"/>
    <col min="3" max="3" width="50.7265625" style="1" customWidth="1"/>
    <col min="4" max="16384" width="9.1796875" style="1"/>
  </cols>
  <sheetData>
    <row r="1" spans="1:3" s="42" customFormat="1" ht="20.149999999999999" customHeight="1" x14ac:dyDescent="0.35">
      <c r="A1" s="47" t="s">
        <v>18</v>
      </c>
      <c r="B1" s="47" t="s">
        <v>54</v>
      </c>
      <c r="C1" s="47" t="s">
        <v>55</v>
      </c>
    </row>
    <row r="2" spans="1:3" ht="42" x14ac:dyDescent="0.35">
      <c r="A2" s="127" t="s">
        <v>588</v>
      </c>
      <c r="B2" s="18" t="s">
        <v>388</v>
      </c>
      <c r="C2" s="18" t="s">
        <v>389</v>
      </c>
    </row>
    <row r="3" spans="1:3" ht="28" x14ac:dyDescent="0.35">
      <c r="A3" s="128"/>
      <c r="B3" s="18" t="s">
        <v>390</v>
      </c>
      <c r="C3" s="18" t="s">
        <v>391</v>
      </c>
    </row>
    <row r="4" spans="1:3" ht="42" x14ac:dyDescent="0.35">
      <c r="A4" s="128"/>
      <c r="B4" s="18" t="s">
        <v>392</v>
      </c>
      <c r="C4" s="18" t="s">
        <v>393</v>
      </c>
    </row>
    <row r="5" spans="1:3" ht="28" x14ac:dyDescent="0.35">
      <c r="A5" s="128"/>
      <c r="B5" s="18" t="s">
        <v>394</v>
      </c>
      <c r="C5" s="18" t="s">
        <v>395</v>
      </c>
    </row>
    <row r="6" spans="1:3" ht="42" x14ac:dyDescent="0.35">
      <c r="A6" s="128"/>
      <c r="B6" s="18" t="s">
        <v>396</v>
      </c>
      <c r="C6" s="18" t="s">
        <v>397</v>
      </c>
    </row>
    <row r="7" spans="1:3" ht="28" x14ac:dyDescent="0.35">
      <c r="A7" s="128"/>
      <c r="B7" s="18" t="s">
        <v>398</v>
      </c>
      <c r="C7" s="18" t="s">
        <v>399</v>
      </c>
    </row>
    <row r="8" spans="1:3" x14ac:dyDescent="0.35">
      <c r="A8" s="128"/>
      <c r="B8" s="18" t="s">
        <v>400</v>
      </c>
      <c r="C8" s="18" t="s">
        <v>401</v>
      </c>
    </row>
    <row r="9" spans="1:3" x14ac:dyDescent="0.35">
      <c r="A9" s="128"/>
      <c r="B9" s="18" t="s">
        <v>402</v>
      </c>
      <c r="C9" s="18" t="s">
        <v>403</v>
      </c>
    </row>
    <row r="10" spans="1:3" ht="28" x14ac:dyDescent="0.35">
      <c r="A10" s="129"/>
      <c r="B10" s="18" t="s">
        <v>404</v>
      </c>
      <c r="C10" s="18" t="s">
        <v>405</v>
      </c>
    </row>
    <row r="11" spans="1:3" ht="42" x14ac:dyDescent="0.35">
      <c r="A11" s="125" t="s">
        <v>589</v>
      </c>
      <c r="B11" s="18" t="s">
        <v>388</v>
      </c>
      <c r="C11" s="18" t="s">
        <v>406</v>
      </c>
    </row>
    <row r="12" spans="1:3" ht="42" x14ac:dyDescent="0.35">
      <c r="A12" s="125"/>
      <c r="B12" s="18" t="s">
        <v>407</v>
      </c>
      <c r="C12" s="18" t="s">
        <v>408</v>
      </c>
    </row>
    <row r="13" spans="1:3" ht="28" x14ac:dyDescent="0.35">
      <c r="A13" s="125"/>
      <c r="B13" s="18" t="s">
        <v>409</v>
      </c>
      <c r="C13" s="18" t="s">
        <v>410</v>
      </c>
    </row>
    <row r="14" spans="1:3" ht="28" x14ac:dyDescent="0.35">
      <c r="A14" s="125"/>
      <c r="B14" s="18" t="s">
        <v>411</v>
      </c>
      <c r="C14" s="18" t="s">
        <v>412</v>
      </c>
    </row>
    <row r="15" spans="1:3" x14ac:dyDescent="0.35">
      <c r="A15" s="125"/>
      <c r="B15" s="18" t="s">
        <v>413</v>
      </c>
      <c r="C15" s="18" t="s">
        <v>414</v>
      </c>
    </row>
    <row r="16" spans="1:3" ht="28" x14ac:dyDescent="0.35">
      <c r="A16" s="125" t="s">
        <v>590</v>
      </c>
      <c r="B16" s="17" t="s">
        <v>415</v>
      </c>
      <c r="C16" s="18" t="s">
        <v>416</v>
      </c>
    </row>
    <row r="17" spans="1:3" x14ac:dyDescent="0.35">
      <c r="A17" s="125"/>
      <c r="B17" s="17" t="s">
        <v>417</v>
      </c>
      <c r="C17" s="18" t="s">
        <v>418</v>
      </c>
    </row>
    <row r="18" spans="1:3" x14ac:dyDescent="0.35">
      <c r="A18" s="125"/>
      <c r="B18" s="17" t="s">
        <v>419</v>
      </c>
      <c r="C18" s="18" t="s">
        <v>420</v>
      </c>
    </row>
    <row r="19" spans="1:3" ht="28" x14ac:dyDescent="0.35">
      <c r="A19" s="125"/>
      <c r="B19" s="17" t="s">
        <v>421</v>
      </c>
      <c r="C19" s="18" t="s">
        <v>422</v>
      </c>
    </row>
    <row r="20" spans="1:3" ht="28" x14ac:dyDescent="0.35">
      <c r="A20" s="125"/>
      <c r="B20" s="17" t="s">
        <v>423</v>
      </c>
      <c r="C20" s="18" t="s">
        <v>424</v>
      </c>
    </row>
    <row r="21" spans="1:3" x14ac:dyDescent="0.35">
      <c r="A21" s="125"/>
      <c r="B21" s="18" t="s">
        <v>425</v>
      </c>
      <c r="C21" s="18" t="s">
        <v>426</v>
      </c>
    </row>
    <row r="22" spans="1:3" ht="28" x14ac:dyDescent="0.35">
      <c r="A22" s="125"/>
      <c r="B22" s="18" t="s">
        <v>427</v>
      </c>
      <c r="C22" s="18" t="s">
        <v>428</v>
      </c>
    </row>
    <row r="23" spans="1:3" ht="28" x14ac:dyDescent="0.35">
      <c r="A23" s="125"/>
      <c r="B23" s="18" t="s">
        <v>429</v>
      </c>
      <c r="C23" s="18" t="s">
        <v>430</v>
      </c>
    </row>
    <row r="24" spans="1:3" x14ac:dyDescent="0.35">
      <c r="A24" s="125"/>
      <c r="B24" s="18" t="s">
        <v>431</v>
      </c>
      <c r="C24" s="18" t="s">
        <v>432</v>
      </c>
    </row>
    <row r="25" spans="1:3" ht="28" x14ac:dyDescent="0.35">
      <c r="A25" s="125"/>
      <c r="B25" s="18" t="s">
        <v>433</v>
      </c>
      <c r="C25" s="18" t="s">
        <v>434</v>
      </c>
    </row>
    <row r="26" spans="1:3" ht="28" x14ac:dyDescent="0.35">
      <c r="A26" s="125"/>
      <c r="B26" s="18" t="s">
        <v>435</v>
      </c>
      <c r="C26" s="18" t="s">
        <v>436</v>
      </c>
    </row>
    <row r="27" spans="1:3" ht="28" x14ac:dyDescent="0.35">
      <c r="A27" s="126" t="s">
        <v>591</v>
      </c>
      <c r="B27" s="18" t="s">
        <v>437</v>
      </c>
      <c r="C27" s="18" t="s">
        <v>438</v>
      </c>
    </row>
    <row r="28" spans="1:3" ht="42" x14ac:dyDescent="0.35">
      <c r="A28" s="126"/>
      <c r="B28" s="18" t="s">
        <v>439</v>
      </c>
      <c r="C28" s="18" t="s">
        <v>440</v>
      </c>
    </row>
    <row r="29" spans="1:3" ht="42" x14ac:dyDescent="0.35">
      <c r="A29" s="126"/>
      <c r="B29" s="18" t="s">
        <v>441</v>
      </c>
      <c r="C29" s="18" t="s">
        <v>442</v>
      </c>
    </row>
    <row r="30" spans="1:3" ht="42" x14ac:dyDescent="0.35">
      <c r="A30" s="126"/>
      <c r="B30" s="18" t="s">
        <v>443</v>
      </c>
      <c r="C30" s="18" t="s">
        <v>444</v>
      </c>
    </row>
    <row r="31" spans="1:3" ht="42" x14ac:dyDescent="0.35">
      <c r="A31" s="126"/>
      <c r="B31" s="18" t="s">
        <v>445</v>
      </c>
      <c r="C31" s="18" t="s">
        <v>446</v>
      </c>
    </row>
    <row r="32" spans="1:3" ht="28" x14ac:dyDescent="0.35">
      <c r="A32" s="126"/>
      <c r="B32" s="18" t="s">
        <v>447</v>
      </c>
      <c r="C32" s="18" t="s">
        <v>448</v>
      </c>
    </row>
    <row r="33" spans="1:3" ht="42" x14ac:dyDescent="0.35">
      <c r="A33" s="126"/>
      <c r="B33" s="18" t="s">
        <v>449</v>
      </c>
      <c r="C33" s="18" t="s">
        <v>450</v>
      </c>
    </row>
    <row r="34" spans="1:3" ht="42" x14ac:dyDescent="0.35">
      <c r="A34" s="126"/>
      <c r="B34" s="18" t="s">
        <v>451</v>
      </c>
      <c r="C34" s="18" t="s">
        <v>452</v>
      </c>
    </row>
    <row r="35" spans="1:3" ht="70" x14ac:dyDescent="0.35">
      <c r="A35" s="126" t="s">
        <v>592</v>
      </c>
      <c r="B35" s="18" t="s">
        <v>453</v>
      </c>
      <c r="C35" s="18" t="s">
        <v>454</v>
      </c>
    </row>
    <row r="36" spans="1:3" ht="28" x14ac:dyDescent="0.35">
      <c r="A36" s="126"/>
      <c r="B36" s="18" t="s">
        <v>455</v>
      </c>
      <c r="C36" s="18" t="s">
        <v>456</v>
      </c>
    </row>
    <row r="37" spans="1:3" ht="28" x14ac:dyDescent="0.35">
      <c r="A37" s="126"/>
      <c r="B37" s="18" t="s">
        <v>457</v>
      </c>
      <c r="C37" s="18" t="s">
        <v>458</v>
      </c>
    </row>
    <row r="38" spans="1:3" ht="28" x14ac:dyDescent="0.35">
      <c r="A38" s="126"/>
      <c r="B38" s="18" t="s">
        <v>459</v>
      </c>
      <c r="C38" s="18" t="s">
        <v>460</v>
      </c>
    </row>
    <row r="39" spans="1:3" ht="56" x14ac:dyDescent="0.35">
      <c r="A39" s="126"/>
      <c r="B39" s="18" t="s">
        <v>461</v>
      </c>
      <c r="C39" s="18" t="s">
        <v>462</v>
      </c>
    </row>
    <row r="40" spans="1:3" ht="42" x14ac:dyDescent="0.35">
      <c r="A40" s="126"/>
      <c r="B40" s="18" t="s">
        <v>463</v>
      </c>
      <c r="C40" s="18" t="s">
        <v>464</v>
      </c>
    </row>
    <row r="41" spans="1:3" ht="28" x14ac:dyDescent="0.35">
      <c r="A41" s="126"/>
      <c r="B41" s="18" t="s">
        <v>465</v>
      </c>
      <c r="C41" s="18" t="s">
        <v>466</v>
      </c>
    </row>
    <row r="42" spans="1:3" ht="42" x14ac:dyDescent="0.35">
      <c r="A42" s="126"/>
      <c r="B42" s="18" t="s">
        <v>467</v>
      </c>
      <c r="C42" s="18" t="s">
        <v>468</v>
      </c>
    </row>
    <row r="43" spans="1:3" ht="84" x14ac:dyDescent="0.35">
      <c r="A43" s="126"/>
      <c r="B43" s="27" t="s">
        <v>469</v>
      </c>
      <c r="C43" s="27" t="s">
        <v>470</v>
      </c>
    </row>
    <row r="44" spans="1:3" ht="42" x14ac:dyDescent="0.35">
      <c r="A44" s="126"/>
      <c r="B44" s="27" t="s">
        <v>471</v>
      </c>
      <c r="C44" s="27" t="s">
        <v>472</v>
      </c>
    </row>
    <row r="45" spans="1:3" ht="28" x14ac:dyDescent="0.35">
      <c r="A45" s="126"/>
      <c r="B45" s="27" t="s">
        <v>473</v>
      </c>
      <c r="C45" s="27" t="s">
        <v>474</v>
      </c>
    </row>
    <row r="46" spans="1:3" ht="28" x14ac:dyDescent="0.35">
      <c r="A46" s="126"/>
      <c r="B46" s="18" t="s">
        <v>475</v>
      </c>
      <c r="C46" s="18" t="s">
        <v>476</v>
      </c>
    </row>
    <row r="47" spans="1:3" ht="84" x14ac:dyDescent="0.35">
      <c r="A47" s="126"/>
      <c r="B47" s="18" t="s">
        <v>477</v>
      </c>
      <c r="C47" s="18" t="s">
        <v>478</v>
      </c>
    </row>
    <row r="48" spans="1:3" ht="140" x14ac:dyDescent="0.35">
      <c r="A48" s="126"/>
      <c r="B48" s="20" t="s">
        <v>480</v>
      </c>
      <c r="C48" s="34" t="s">
        <v>479</v>
      </c>
    </row>
    <row r="49" spans="1:3" ht="56" x14ac:dyDescent="0.35">
      <c r="A49" s="126"/>
      <c r="B49" s="17" t="s">
        <v>546</v>
      </c>
      <c r="C49" s="18" t="s">
        <v>547</v>
      </c>
    </row>
  </sheetData>
  <mergeCells count="5">
    <mergeCell ref="A11:A15"/>
    <mergeCell ref="A16:A26"/>
    <mergeCell ref="A27:A34"/>
    <mergeCell ref="A35:A49"/>
    <mergeCell ref="A2:A10"/>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tint="-0.249977111117893"/>
  </sheetPr>
  <dimension ref="A1:C54"/>
  <sheetViews>
    <sheetView showGridLines="0" workbookViewId="0">
      <pane ySplit="1" topLeftCell="A53" activePane="bottomLeft" state="frozen"/>
      <selection pane="bottomLeft" activeCell="F23" sqref="F23"/>
    </sheetView>
  </sheetViews>
  <sheetFormatPr defaultRowHeight="14" x14ac:dyDescent="0.3"/>
  <cols>
    <col min="1" max="1" width="20.7265625" style="11" customWidth="1"/>
    <col min="2" max="2" width="30.7265625" style="39" customWidth="1"/>
    <col min="3" max="3" width="50.7265625" style="11" customWidth="1"/>
    <col min="4" max="16384" width="8.7265625" style="11"/>
  </cols>
  <sheetData>
    <row r="1" spans="1:3" s="42" customFormat="1" x14ac:dyDescent="0.35">
      <c r="A1" s="47" t="s">
        <v>18</v>
      </c>
      <c r="B1" s="47" t="s">
        <v>54</v>
      </c>
      <c r="C1" s="47" t="s">
        <v>55</v>
      </c>
    </row>
    <row r="2" spans="1:3" s="42" customFormat="1" ht="28" x14ac:dyDescent="0.35">
      <c r="A2" s="115" t="s">
        <v>24</v>
      </c>
      <c r="B2" s="46" t="s">
        <v>56</v>
      </c>
      <c r="C2" s="46" t="s">
        <v>57</v>
      </c>
    </row>
    <row r="3" spans="1:3" s="42" customFormat="1" ht="42" x14ac:dyDescent="0.35">
      <c r="A3" s="116"/>
      <c r="B3" s="46" t="s">
        <v>58</v>
      </c>
      <c r="C3" s="46" t="s">
        <v>59</v>
      </c>
    </row>
    <row r="4" spans="1:3" s="42" customFormat="1" ht="70" x14ac:dyDescent="0.35">
      <c r="A4" s="116"/>
      <c r="B4" s="46" t="s">
        <v>60</v>
      </c>
      <c r="C4" s="46" t="s">
        <v>61</v>
      </c>
    </row>
    <row r="5" spans="1:3" s="42" customFormat="1" ht="42" x14ac:dyDescent="0.35">
      <c r="A5" s="116"/>
      <c r="B5" s="46" t="s">
        <v>62</v>
      </c>
      <c r="C5" s="46" t="s">
        <v>63</v>
      </c>
    </row>
    <row r="6" spans="1:3" s="42" customFormat="1" ht="28" x14ac:dyDescent="0.35">
      <c r="A6" s="116"/>
      <c r="B6" s="46" t="s">
        <v>64</v>
      </c>
      <c r="C6" s="46" t="s">
        <v>65</v>
      </c>
    </row>
    <row r="7" spans="1:3" s="42" customFormat="1" ht="28" x14ac:dyDescent="0.35">
      <c r="A7" s="117"/>
      <c r="B7" s="46" t="s">
        <v>66</v>
      </c>
      <c r="C7" s="46" t="s">
        <v>67</v>
      </c>
    </row>
    <row r="8" spans="1:3" s="42" customFormat="1" ht="56" x14ac:dyDescent="0.35">
      <c r="A8" s="115" t="s">
        <v>308</v>
      </c>
      <c r="B8" s="46" t="s">
        <v>333</v>
      </c>
      <c r="C8" s="46" t="s">
        <v>334</v>
      </c>
    </row>
    <row r="9" spans="1:3" s="42" customFormat="1" ht="28" x14ac:dyDescent="0.35">
      <c r="A9" s="116"/>
      <c r="B9" s="46" t="s">
        <v>335</v>
      </c>
      <c r="C9" s="46" t="s">
        <v>336</v>
      </c>
    </row>
    <row r="10" spans="1:3" s="42" customFormat="1" ht="56" x14ac:dyDescent="0.35">
      <c r="A10" s="116"/>
      <c r="B10" s="46" t="s">
        <v>337</v>
      </c>
      <c r="C10" s="46" t="s">
        <v>338</v>
      </c>
    </row>
    <row r="11" spans="1:3" s="42" customFormat="1" ht="28" x14ac:dyDescent="0.35">
      <c r="A11" s="116"/>
      <c r="B11" s="46" t="s">
        <v>339</v>
      </c>
      <c r="C11" s="46" t="s">
        <v>340</v>
      </c>
    </row>
    <row r="12" spans="1:3" s="42" customFormat="1" ht="28" x14ac:dyDescent="0.35">
      <c r="A12" s="116"/>
      <c r="B12" s="46" t="s">
        <v>341</v>
      </c>
      <c r="C12" s="46" t="s">
        <v>342</v>
      </c>
    </row>
    <row r="13" spans="1:3" s="42" customFormat="1" ht="42" x14ac:dyDescent="0.35">
      <c r="A13" s="116"/>
      <c r="B13" s="46" t="s">
        <v>343</v>
      </c>
      <c r="C13" s="46" t="s">
        <v>344</v>
      </c>
    </row>
    <row r="14" spans="1:3" s="42" customFormat="1" ht="56" x14ac:dyDescent="0.35">
      <c r="A14" s="117"/>
      <c r="B14" s="46" t="s">
        <v>548</v>
      </c>
      <c r="C14" s="46" t="s">
        <v>549</v>
      </c>
    </row>
    <row r="15" spans="1:3" s="42" customFormat="1" ht="42" x14ac:dyDescent="0.35">
      <c r="A15" s="115" t="s">
        <v>281</v>
      </c>
      <c r="B15" s="18" t="s">
        <v>100</v>
      </c>
      <c r="C15" s="18" t="s">
        <v>345</v>
      </c>
    </row>
    <row r="16" spans="1:3" s="42" customFormat="1" ht="42" x14ac:dyDescent="0.35">
      <c r="A16" s="116"/>
      <c r="B16" s="18" t="s">
        <v>101</v>
      </c>
      <c r="C16" s="18" t="s">
        <v>346</v>
      </c>
    </row>
    <row r="17" spans="1:3" s="42" customFormat="1" ht="56" x14ac:dyDescent="0.35">
      <c r="A17" s="116"/>
      <c r="B17" s="18" t="s">
        <v>102</v>
      </c>
      <c r="C17" s="18" t="s">
        <v>347</v>
      </c>
    </row>
    <row r="18" spans="1:3" s="42" customFormat="1" ht="84" x14ac:dyDescent="0.35">
      <c r="A18" s="116"/>
      <c r="B18" s="18" t="s">
        <v>103</v>
      </c>
      <c r="C18" s="18" t="s">
        <v>348</v>
      </c>
    </row>
    <row r="19" spans="1:3" s="42" customFormat="1" ht="70" x14ac:dyDescent="0.35">
      <c r="A19" s="116"/>
      <c r="B19" s="18" t="s">
        <v>104</v>
      </c>
      <c r="C19" s="18" t="s">
        <v>349</v>
      </c>
    </row>
    <row r="20" spans="1:3" s="42" customFormat="1" ht="84" x14ac:dyDescent="0.35">
      <c r="A20" s="116"/>
      <c r="B20" s="18" t="s">
        <v>105</v>
      </c>
      <c r="C20" s="18" t="s">
        <v>350</v>
      </c>
    </row>
    <row r="21" spans="1:3" s="42" customFormat="1" ht="70" x14ac:dyDescent="0.35">
      <c r="A21" s="117"/>
      <c r="B21" s="18" t="s">
        <v>106</v>
      </c>
      <c r="C21" s="18" t="s">
        <v>351</v>
      </c>
    </row>
    <row r="22" spans="1:3" ht="42" x14ac:dyDescent="0.3">
      <c r="A22" s="130" t="s">
        <v>282</v>
      </c>
      <c r="B22" s="18" t="s">
        <v>483</v>
      </c>
      <c r="C22" s="18" t="s">
        <v>484</v>
      </c>
    </row>
    <row r="23" spans="1:3" ht="56" x14ac:dyDescent="0.3">
      <c r="A23" s="130"/>
      <c r="B23" s="18" t="s">
        <v>485</v>
      </c>
      <c r="C23" s="18" t="s">
        <v>486</v>
      </c>
    </row>
    <row r="24" spans="1:3" ht="42" x14ac:dyDescent="0.3">
      <c r="A24" s="130"/>
      <c r="B24" s="18" t="s">
        <v>487</v>
      </c>
      <c r="C24" s="18" t="s">
        <v>488</v>
      </c>
    </row>
    <row r="25" spans="1:3" ht="56" x14ac:dyDescent="0.3">
      <c r="A25" s="130"/>
      <c r="B25" s="18" t="s">
        <v>489</v>
      </c>
      <c r="C25" s="18" t="s">
        <v>490</v>
      </c>
    </row>
    <row r="26" spans="1:3" ht="28" x14ac:dyDescent="0.3">
      <c r="A26" s="130"/>
      <c r="B26" s="18" t="s">
        <v>491</v>
      </c>
      <c r="C26" s="18" t="s">
        <v>492</v>
      </c>
    </row>
    <row r="27" spans="1:3" ht="42" x14ac:dyDescent="0.3">
      <c r="A27" s="130"/>
      <c r="B27" s="18" t="s">
        <v>493</v>
      </c>
      <c r="C27" s="18" t="s">
        <v>494</v>
      </c>
    </row>
    <row r="28" spans="1:3" ht="56" x14ac:dyDescent="0.3">
      <c r="A28" s="130"/>
      <c r="B28" s="18" t="s">
        <v>495</v>
      </c>
      <c r="C28" s="18" t="s">
        <v>496</v>
      </c>
    </row>
    <row r="29" spans="1:3" ht="98" x14ac:dyDescent="0.3">
      <c r="A29" s="115" t="s">
        <v>283</v>
      </c>
      <c r="B29" s="18" t="s">
        <v>497</v>
      </c>
      <c r="C29" s="18" t="s">
        <v>498</v>
      </c>
    </row>
    <row r="30" spans="1:3" ht="42" x14ac:dyDescent="0.3">
      <c r="A30" s="116"/>
      <c r="B30" s="18" t="s">
        <v>499</v>
      </c>
      <c r="C30" s="18" t="s">
        <v>500</v>
      </c>
    </row>
    <row r="31" spans="1:3" ht="56" x14ac:dyDescent="0.3">
      <c r="A31" s="116"/>
      <c r="B31" s="18" t="s">
        <v>501</v>
      </c>
      <c r="C31" s="18" t="s">
        <v>502</v>
      </c>
    </row>
    <row r="32" spans="1:3" ht="70" x14ac:dyDescent="0.3">
      <c r="A32" s="116"/>
      <c r="B32" s="18" t="s">
        <v>503</v>
      </c>
      <c r="C32" s="18" t="s">
        <v>504</v>
      </c>
    </row>
    <row r="33" spans="1:3" ht="98" x14ac:dyDescent="0.3">
      <c r="A33" s="116"/>
      <c r="B33" s="18" t="s">
        <v>505</v>
      </c>
      <c r="C33" s="18" t="s">
        <v>506</v>
      </c>
    </row>
    <row r="34" spans="1:3" ht="56" x14ac:dyDescent="0.3">
      <c r="A34" s="117"/>
      <c r="B34" s="18" t="s">
        <v>507</v>
      </c>
      <c r="C34" s="18" t="s">
        <v>508</v>
      </c>
    </row>
    <row r="35" spans="1:3" ht="56" x14ac:dyDescent="0.3">
      <c r="A35" s="130" t="s">
        <v>28</v>
      </c>
      <c r="B35" s="17" t="s">
        <v>68</v>
      </c>
      <c r="C35" s="17" t="s">
        <v>69</v>
      </c>
    </row>
    <row r="36" spans="1:3" ht="56" x14ac:dyDescent="0.3">
      <c r="A36" s="130"/>
      <c r="B36" s="17" t="s">
        <v>70</v>
      </c>
      <c r="C36" s="17" t="s">
        <v>71</v>
      </c>
    </row>
    <row r="37" spans="1:3" ht="42" x14ac:dyDescent="0.3">
      <c r="A37" s="130"/>
      <c r="B37" s="17" t="s">
        <v>72</v>
      </c>
      <c r="C37" s="17" t="s">
        <v>73</v>
      </c>
    </row>
    <row r="38" spans="1:3" ht="56" x14ac:dyDescent="0.3">
      <c r="A38" s="130"/>
      <c r="B38" s="17" t="s">
        <v>74</v>
      </c>
      <c r="C38" s="17" t="s">
        <v>75</v>
      </c>
    </row>
    <row r="39" spans="1:3" ht="42" x14ac:dyDescent="0.3">
      <c r="A39" s="130"/>
      <c r="B39" s="17" t="s">
        <v>76</v>
      </c>
      <c r="C39" s="17" t="s">
        <v>77</v>
      </c>
    </row>
    <row r="40" spans="1:3" ht="42" x14ac:dyDescent="0.3">
      <c r="A40" s="130"/>
      <c r="B40" s="49" t="s">
        <v>78</v>
      </c>
      <c r="C40" s="49" t="s">
        <v>79</v>
      </c>
    </row>
    <row r="41" spans="1:3" ht="42" x14ac:dyDescent="0.3">
      <c r="A41" s="130"/>
      <c r="B41" s="49" t="s">
        <v>80</v>
      </c>
      <c r="C41" s="49" t="s">
        <v>81</v>
      </c>
    </row>
    <row r="42" spans="1:3" ht="56" x14ac:dyDescent="0.3">
      <c r="A42" s="130"/>
      <c r="B42" s="49" t="s">
        <v>82</v>
      </c>
      <c r="C42" s="49" t="s">
        <v>83</v>
      </c>
    </row>
    <row r="43" spans="1:3" ht="84" x14ac:dyDescent="0.3">
      <c r="A43" s="130"/>
      <c r="B43" s="49" t="s">
        <v>84</v>
      </c>
      <c r="C43" s="49" t="s">
        <v>85</v>
      </c>
    </row>
    <row r="44" spans="1:3" ht="42" x14ac:dyDescent="0.3">
      <c r="A44" s="131" t="s">
        <v>29</v>
      </c>
      <c r="B44" s="49" t="s">
        <v>114</v>
      </c>
      <c r="C44" s="49" t="s">
        <v>115</v>
      </c>
    </row>
    <row r="45" spans="1:3" ht="42" x14ac:dyDescent="0.3">
      <c r="A45" s="132"/>
      <c r="B45" s="49" t="s">
        <v>116</v>
      </c>
      <c r="C45" s="49" t="s">
        <v>117</v>
      </c>
    </row>
    <row r="46" spans="1:3" ht="56" x14ac:dyDescent="0.3">
      <c r="A46" s="132"/>
      <c r="B46" s="49" t="s">
        <v>118</v>
      </c>
      <c r="C46" s="49" t="s">
        <v>119</v>
      </c>
    </row>
    <row r="47" spans="1:3" ht="56" x14ac:dyDescent="0.3">
      <c r="A47" s="132"/>
      <c r="B47" s="49" t="s">
        <v>120</v>
      </c>
      <c r="C47" s="49" t="s">
        <v>121</v>
      </c>
    </row>
    <row r="48" spans="1:3" ht="42" x14ac:dyDescent="0.3">
      <c r="A48" s="132"/>
      <c r="B48" s="49" t="s">
        <v>122</v>
      </c>
      <c r="C48" s="36" t="s">
        <v>123</v>
      </c>
    </row>
    <row r="49" spans="1:3" ht="42" x14ac:dyDescent="0.3">
      <c r="A49" s="132"/>
      <c r="B49" s="49" t="s">
        <v>124</v>
      </c>
      <c r="C49" s="49" t="s">
        <v>125</v>
      </c>
    </row>
    <row r="50" spans="1:3" ht="28" x14ac:dyDescent="0.3">
      <c r="A50" s="132"/>
      <c r="B50" s="49" t="s">
        <v>126</v>
      </c>
      <c r="C50" s="36" t="s">
        <v>127</v>
      </c>
    </row>
    <row r="51" spans="1:3" ht="42" x14ac:dyDescent="0.3">
      <c r="A51" s="132"/>
      <c r="B51" s="49" t="s">
        <v>128</v>
      </c>
      <c r="C51" s="49" t="s">
        <v>129</v>
      </c>
    </row>
    <row r="52" spans="1:3" ht="56" x14ac:dyDescent="0.3">
      <c r="A52" s="132"/>
      <c r="B52" s="63" t="s">
        <v>130</v>
      </c>
      <c r="C52" s="49" t="s">
        <v>131</v>
      </c>
    </row>
    <row r="53" spans="1:3" ht="56" x14ac:dyDescent="0.3">
      <c r="A53" s="132"/>
      <c r="B53" s="63" t="s">
        <v>132</v>
      </c>
      <c r="C53" s="49" t="s">
        <v>133</v>
      </c>
    </row>
    <row r="54" spans="1:3" ht="56" x14ac:dyDescent="0.3">
      <c r="A54" s="133"/>
      <c r="B54" s="49" t="s">
        <v>134</v>
      </c>
      <c r="C54" s="49" t="s">
        <v>482</v>
      </c>
    </row>
  </sheetData>
  <mergeCells count="7">
    <mergeCell ref="A35:A43"/>
    <mergeCell ref="A44:A54"/>
    <mergeCell ref="A22:A28"/>
    <mergeCell ref="A29:A34"/>
    <mergeCell ref="A2:A7"/>
    <mergeCell ref="A8:A14"/>
    <mergeCell ref="A15:A21"/>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249977111117893"/>
  </sheetPr>
  <dimension ref="A1:C29"/>
  <sheetViews>
    <sheetView showGridLines="0" workbookViewId="0">
      <pane ySplit="1" topLeftCell="A2" activePane="bottomLeft" state="frozen"/>
      <selection pane="bottomLeft" activeCell="C36" sqref="C36"/>
    </sheetView>
  </sheetViews>
  <sheetFormatPr defaultColWidth="9.1796875" defaultRowHeight="14" x14ac:dyDescent="0.35"/>
  <cols>
    <col min="1" max="1" width="20.7265625" style="1" customWidth="1"/>
    <col min="2" max="2" width="30.7265625" style="1" customWidth="1"/>
    <col min="3" max="3" width="50.7265625" style="1" customWidth="1"/>
    <col min="4" max="4" width="20" style="1" customWidth="1"/>
    <col min="5" max="16384" width="9.1796875" style="1"/>
  </cols>
  <sheetData>
    <row r="1" spans="1:3" s="42" customFormat="1" ht="20.149999999999999" customHeight="1" x14ac:dyDescent="0.35">
      <c r="A1" s="41" t="s">
        <v>18</v>
      </c>
      <c r="B1" s="41" t="s">
        <v>54</v>
      </c>
      <c r="C1" s="41" t="s">
        <v>55</v>
      </c>
    </row>
    <row r="2" spans="1:3" ht="56" x14ac:dyDescent="0.35">
      <c r="A2" s="115" t="s">
        <v>135</v>
      </c>
      <c r="B2" s="17" t="s">
        <v>136</v>
      </c>
      <c r="C2" s="17" t="s">
        <v>137</v>
      </c>
    </row>
    <row r="3" spans="1:3" ht="42" x14ac:dyDescent="0.35">
      <c r="A3" s="116"/>
      <c r="B3" s="17" t="s">
        <v>138</v>
      </c>
      <c r="C3" s="17" t="s">
        <v>139</v>
      </c>
    </row>
    <row r="4" spans="1:3" ht="56" x14ac:dyDescent="0.35">
      <c r="A4" s="116"/>
      <c r="B4" s="17" t="s">
        <v>140</v>
      </c>
      <c r="C4" s="17" t="s">
        <v>141</v>
      </c>
    </row>
    <row r="5" spans="1:3" ht="56" x14ac:dyDescent="0.35">
      <c r="A5" s="116"/>
      <c r="B5" s="17" t="s">
        <v>142</v>
      </c>
      <c r="C5" s="18" t="s">
        <v>143</v>
      </c>
    </row>
    <row r="6" spans="1:3" ht="56" x14ac:dyDescent="0.35">
      <c r="A6" s="116"/>
      <c r="B6" s="17" t="s">
        <v>144</v>
      </c>
      <c r="C6" s="18" t="s">
        <v>145</v>
      </c>
    </row>
    <row r="7" spans="1:3" ht="42" x14ac:dyDescent="0.35">
      <c r="A7" s="116"/>
      <c r="B7" s="17" t="s">
        <v>146</v>
      </c>
      <c r="C7" s="18" t="s">
        <v>147</v>
      </c>
    </row>
    <row r="8" spans="1:3" ht="56" x14ac:dyDescent="0.35">
      <c r="A8" s="116"/>
      <c r="B8" s="17" t="s">
        <v>148</v>
      </c>
      <c r="C8" s="18" t="s">
        <v>149</v>
      </c>
    </row>
    <row r="9" spans="1:3" ht="42" x14ac:dyDescent="0.35">
      <c r="A9" s="116"/>
      <c r="B9" s="17" t="s">
        <v>150</v>
      </c>
      <c r="C9" s="18" t="s">
        <v>151</v>
      </c>
    </row>
    <row r="10" spans="1:3" ht="56" x14ac:dyDescent="0.35">
      <c r="A10" s="116"/>
      <c r="B10" s="17" t="s">
        <v>152</v>
      </c>
      <c r="C10" s="18" t="s">
        <v>153</v>
      </c>
    </row>
    <row r="11" spans="1:3" ht="42" x14ac:dyDescent="0.35">
      <c r="A11" s="116"/>
      <c r="B11" s="17" t="s">
        <v>154</v>
      </c>
      <c r="C11" s="18" t="s">
        <v>155</v>
      </c>
    </row>
    <row r="12" spans="1:3" ht="56" x14ac:dyDescent="0.35">
      <c r="A12" s="117"/>
      <c r="B12" s="17" t="s">
        <v>156</v>
      </c>
      <c r="C12" s="18" t="s">
        <v>157</v>
      </c>
    </row>
    <row r="13" spans="1:3" ht="28" x14ac:dyDescent="0.35">
      <c r="A13" s="115" t="s">
        <v>107</v>
      </c>
      <c r="B13" s="17" t="s">
        <v>108</v>
      </c>
      <c r="C13" s="17" t="s">
        <v>109</v>
      </c>
    </row>
    <row r="14" spans="1:3" ht="42" x14ac:dyDescent="0.35">
      <c r="A14" s="116"/>
      <c r="B14" s="17" t="s">
        <v>110</v>
      </c>
      <c r="C14" s="17" t="s">
        <v>111</v>
      </c>
    </row>
    <row r="15" spans="1:3" ht="28" x14ac:dyDescent="0.35">
      <c r="A15" s="117"/>
      <c r="B15" s="17" t="s">
        <v>112</v>
      </c>
      <c r="C15" s="17" t="s">
        <v>113</v>
      </c>
    </row>
    <row r="16" spans="1:3" ht="42" x14ac:dyDescent="0.35">
      <c r="A16" s="115" t="s">
        <v>86</v>
      </c>
      <c r="B16" s="17" t="s">
        <v>87</v>
      </c>
      <c r="C16" s="49" t="s">
        <v>88</v>
      </c>
    </row>
    <row r="17" spans="1:3" ht="56" x14ac:dyDescent="0.35">
      <c r="A17" s="116"/>
      <c r="B17" s="17" t="s">
        <v>89</v>
      </c>
      <c r="C17" s="49" t="s">
        <v>90</v>
      </c>
    </row>
    <row r="18" spans="1:3" ht="42" x14ac:dyDescent="0.35">
      <c r="A18" s="116"/>
      <c r="B18" s="17" t="s">
        <v>91</v>
      </c>
      <c r="C18" s="49" t="s">
        <v>92</v>
      </c>
    </row>
    <row r="19" spans="1:3" ht="28" x14ac:dyDescent="0.35">
      <c r="A19" s="116"/>
      <c r="B19" s="17" t="s">
        <v>93</v>
      </c>
      <c r="C19" s="49" t="s">
        <v>94</v>
      </c>
    </row>
    <row r="20" spans="1:3" ht="42" x14ac:dyDescent="0.35">
      <c r="A20" s="116"/>
      <c r="B20" s="17" t="s">
        <v>95</v>
      </c>
      <c r="C20" s="49" t="s">
        <v>96</v>
      </c>
    </row>
    <row r="21" spans="1:3" ht="56" x14ac:dyDescent="0.35">
      <c r="A21" s="117"/>
      <c r="B21" s="17" t="s">
        <v>97</v>
      </c>
      <c r="C21" s="49" t="s">
        <v>98</v>
      </c>
    </row>
    <row r="22" spans="1:3" ht="42" x14ac:dyDescent="0.35">
      <c r="A22" s="115" t="s">
        <v>35</v>
      </c>
      <c r="B22" s="49" t="s">
        <v>509</v>
      </c>
      <c r="C22" s="49" t="s">
        <v>510</v>
      </c>
    </row>
    <row r="23" spans="1:3" ht="42" x14ac:dyDescent="0.35">
      <c r="A23" s="116"/>
      <c r="B23" s="49" t="s">
        <v>511</v>
      </c>
      <c r="C23" s="49" t="s">
        <v>512</v>
      </c>
    </row>
    <row r="24" spans="1:3" ht="42" x14ac:dyDescent="0.35">
      <c r="A24" s="116"/>
      <c r="B24" s="49" t="s">
        <v>513</v>
      </c>
      <c r="C24" s="49" t="s">
        <v>514</v>
      </c>
    </row>
    <row r="25" spans="1:3" ht="43" x14ac:dyDescent="0.35">
      <c r="A25" s="116"/>
      <c r="B25" s="49" t="s">
        <v>515</v>
      </c>
      <c r="C25" s="49" t="s">
        <v>516</v>
      </c>
    </row>
    <row r="26" spans="1:3" ht="28" x14ac:dyDescent="0.35">
      <c r="A26" s="116"/>
      <c r="B26" s="49" t="s">
        <v>517</v>
      </c>
      <c r="C26" s="49" t="s">
        <v>518</v>
      </c>
    </row>
    <row r="27" spans="1:3" ht="42" x14ac:dyDescent="0.35">
      <c r="A27" s="116"/>
      <c r="B27" s="49" t="s">
        <v>519</v>
      </c>
      <c r="C27" s="49" t="s">
        <v>520</v>
      </c>
    </row>
    <row r="28" spans="1:3" ht="28" x14ac:dyDescent="0.35">
      <c r="A28" s="116"/>
      <c r="B28" s="49" t="s">
        <v>521</v>
      </c>
      <c r="C28" s="49" t="s">
        <v>522</v>
      </c>
    </row>
    <row r="29" spans="1:3" ht="42" x14ac:dyDescent="0.35">
      <c r="A29" s="117"/>
      <c r="B29" s="49" t="s">
        <v>523</v>
      </c>
      <c r="C29" s="49" t="s">
        <v>524</v>
      </c>
    </row>
  </sheetData>
  <mergeCells count="4">
    <mergeCell ref="A2:A12"/>
    <mergeCell ref="A13:A15"/>
    <mergeCell ref="A16:A21"/>
    <mergeCell ref="A22:A2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C15"/>
  <sheetViews>
    <sheetView showGridLines="0" workbookViewId="0">
      <pane ySplit="1" topLeftCell="A2" activePane="bottomLeft" state="frozen"/>
      <selection pane="bottomLeft" activeCell="C48" sqref="C48"/>
    </sheetView>
  </sheetViews>
  <sheetFormatPr defaultColWidth="9.1796875" defaultRowHeight="14" x14ac:dyDescent="0.35"/>
  <cols>
    <col min="1" max="1" width="20.7265625" style="1" customWidth="1"/>
    <col min="2" max="2" width="30.7265625" style="1" customWidth="1"/>
    <col min="3" max="3" width="50.7265625" style="1" customWidth="1"/>
    <col min="4" max="16384" width="9.1796875" style="1"/>
  </cols>
  <sheetData>
    <row r="1" spans="1:3" s="42" customFormat="1" ht="20.149999999999999" customHeight="1" x14ac:dyDescent="0.35">
      <c r="A1" s="37" t="s">
        <v>18</v>
      </c>
      <c r="B1" s="37" t="s">
        <v>54</v>
      </c>
      <c r="C1" s="37" t="s">
        <v>55</v>
      </c>
    </row>
    <row r="2" spans="1:3" ht="56" x14ac:dyDescent="0.35">
      <c r="A2" s="115" t="s">
        <v>32</v>
      </c>
      <c r="B2" s="17" t="s">
        <v>158</v>
      </c>
      <c r="C2" s="17" t="s">
        <v>159</v>
      </c>
    </row>
    <row r="3" spans="1:3" ht="56" x14ac:dyDescent="0.35">
      <c r="A3" s="116"/>
      <c r="B3" s="17" t="s">
        <v>160</v>
      </c>
      <c r="C3" s="17" t="s">
        <v>161</v>
      </c>
    </row>
    <row r="4" spans="1:3" ht="56" x14ac:dyDescent="0.35">
      <c r="A4" s="116"/>
      <c r="B4" s="17" t="s">
        <v>162</v>
      </c>
      <c r="C4" s="17" t="s">
        <v>163</v>
      </c>
    </row>
    <row r="5" spans="1:3" ht="70" x14ac:dyDescent="0.35">
      <c r="A5" s="116"/>
      <c r="B5" s="17" t="s">
        <v>164</v>
      </c>
      <c r="C5" s="17" t="s">
        <v>165</v>
      </c>
    </row>
    <row r="6" spans="1:3" ht="56" x14ac:dyDescent="0.35">
      <c r="A6" s="116"/>
      <c r="B6" s="17" t="s">
        <v>166</v>
      </c>
      <c r="C6" s="17" t="s">
        <v>167</v>
      </c>
    </row>
    <row r="7" spans="1:3" ht="56" x14ac:dyDescent="0.35">
      <c r="A7" s="116"/>
      <c r="B7" s="17" t="s">
        <v>168</v>
      </c>
      <c r="C7" s="17" t="s">
        <v>169</v>
      </c>
    </row>
    <row r="8" spans="1:3" ht="56" x14ac:dyDescent="0.35">
      <c r="A8" s="116"/>
      <c r="B8" s="17" t="s">
        <v>170</v>
      </c>
      <c r="C8" s="17" t="s">
        <v>171</v>
      </c>
    </row>
    <row r="9" spans="1:3" ht="56" x14ac:dyDescent="0.35">
      <c r="A9" s="116"/>
      <c r="B9" s="18" t="s">
        <v>172</v>
      </c>
      <c r="C9" s="17" t="s">
        <v>173</v>
      </c>
    </row>
    <row r="10" spans="1:3" ht="56" x14ac:dyDescent="0.35">
      <c r="A10" s="116"/>
      <c r="B10" s="17" t="s">
        <v>174</v>
      </c>
      <c r="C10" s="17" t="s">
        <v>175</v>
      </c>
    </row>
    <row r="11" spans="1:3" ht="56" x14ac:dyDescent="0.35">
      <c r="A11" s="117"/>
      <c r="B11" s="17" t="s">
        <v>176</v>
      </c>
      <c r="C11" s="17" t="s">
        <v>177</v>
      </c>
    </row>
    <row r="12" spans="1:3" ht="84" x14ac:dyDescent="0.35">
      <c r="A12" s="115" t="s">
        <v>39</v>
      </c>
      <c r="B12" s="18" t="s">
        <v>178</v>
      </c>
      <c r="C12" s="17" t="s">
        <v>331</v>
      </c>
    </row>
    <row r="13" spans="1:3" ht="70" x14ac:dyDescent="0.35">
      <c r="A13" s="116"/>
      <c r="B13" s="18" t="s">
        <v>179</v>
      </c>
      <c r="C13" s="17" t="s">
        <v>180</v>
      </c>
    </row>
    <row r="14" spans="1:3" ht="70" x14ac:dyDescent="0.35">
      <c r="A14" s="116"/>
      <c r="B14" s="18" t="s">
        <v>181</v>
      </c>
      <c r="C14" s="17" t="s">
        <v>182</v>
      </c>
    </row>
    <row r="15" spans="1:3" ht="84" x14ac:dyDescent="0.35">
      <c r="A15" s="117"/>
      <c r="B15" s="18" t="s">
        <v>183</v>
      </c>
      <c r="C15" s="17" t="s">
        <v>184</v>
      </c>
    </row>
  </sheetData>
  <mergeCells count="2">
    <mergeCell ref="A2:A11"/>
    <mergeCell ref="A12:A1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8643D-2C6E-4193-B851-8F9159013389}">
  <sheetPr>
    <tabColor rgb="FF00B0F0"/>
  </sheetPr>
  <dimension ref="A1:C52"/>
  <sheetViews>
    <sheetView showGridLines="0" workbookViewId="0">
      <pane ySplit="1" topLeftCell="A26" activePane="bottomLeft" state="frozen"/>
      <selection pane="bottomLeft" activeCell="F28" sqref="F28"/>
    </sheetView>
  </sheetViews>
  <sheetFormatPr defaultRowHeight="14" x14ac:dyDescent="0.3"/>
  <cols>
    <col min="1" max="1" width="27.453125" style="11" customWidth="1"/>
    <col min="2" max="2" width="25.26953125" style="11" customWidth="1"/>
    <col min="3" max="3" width="41.90625" style="11" customWidth="1"/>
    <col min="4" max="16384" width="8.7265625" style="11"/>
  </cols>
  <sheetData>
    <row r="1" spans="1:3" s="42" customFormat="1" ht="20.149999999999999" customHeight="1" x14ac:dyDescent="0.35">
      <c r="A1" s="37" t="s">
        <v>18</v>
      </c>
      <c r="B1" s="37" t="s">
        <v>54</v>
      </c>
      <c r="C1" s="37" t="s">
        <v>55</v>
      </c>
    </row>
    <row r="2" spans="1:3" s="1" customFormat="1" ht="70" x14ac:dyDescent="0.35">
      <c r="A2" s="134" t="s">
        <v>285</v>
      </c>
      <c r="B2" s="49" t="s">
        <v>190</v>
      </c>
      <c r="C2" s="17" t="s">
        <v>191</v>
      </c>
    </row>
    <row r="3" spans="1:3" s="1" customFormat="1" ht="70" x14ac:dyDescent="0.35">
      <c r="A3" s="135"/>
      <c r="B3" s="49" t="s">
        <v>192</v>
      </c>
      <c r="C3" s="17" t="s">
        <v>525</v>
      </c>
    </row>
    <row r="4" spans="1:3" s="1" customFormat="1" ht="70" x14ac:dyDescent="0.35">
      <c r="A4" s="136"/>
      <c r="B4" s="49" t="s">
        <v>193</v>
      </c>
      <c r="C4" s="17" t="s">
        <v>526</v>
      </c>
    </row>
    <row r="5" spans="1:3" s="1" customFormat="1" ht="28" x14ac:dyDescent="0.35">
      <c r="A5" s="134" t="s">
        <v>310</v>
      </c>
      <c r="B5" s="46" t="s">
        <v>321</v>
      </c>
      <c r="C5" s="46" t="s">
        <v>322</v>
      </c>
    </row>
    <row r="6" spans="1:3" s="1" customFormat="1" ht="56" x14ac:dyDescent="0.35">
      <c r="A6" s="135"/>
      <c r="B6" s="46" t="s">
        <v>323</v>
      </c>
      <c r="C6" s="46" t="s">
        <v>324</v>
      </c>
    </row>
    <row r="7" spans="1:3" s="1" customFormat="1" ht="28" x14ac:dyDescent="0.35">
      <c r="A7" s="135"/>
      <c r="B7" s="46" t="s">
        <v>325</v>
      </c>
      <c r="C7" s="46" t="s">
        <v>326</v>
      </c>
    </row>
    <row r="8" spans="1:3" s="1" customFormat="1" ht="42" x14ac:dyDescent="0.35">
      <c r="A8" s="135"/>
      <c r="B8" s="64" t="s">
        <v>327</v>
      </c>
      <c r="C8" s="48" t="s">
        <v>328</v>
      </c>
    </row>
    <row r="9" spans="1:3" s="1" customFormat="1" ht="28" x14ac:dyDescent="0.35">
      <c r="A9" s="136"/>
      <c r="B9" s="46" t="s">
        <v>329</v>
      </c>
      <c r="C9" s="46" t="s">
        <v>330</v>
      </c>
    </row>
    <row r="10" spans="1:3" s="1" customFormat="1" ht="42" x14ac:dyDescent="0.35">
      <c r="A10" s="134" t="s">
        <v>550</v>
      </c>
      <c r="B10" s="12" t="s">
        <v>551</v>
      </c>
      <c r="C10" s="13" t="s">
        <v>552</v>
      </c>
    </row>
    <row r="11" spans="1:3" s="1" customFormat="1" ht="42" x14ac:dyDescent="0.35">
      <c r="A11" s="135"/>
      <c r="B11" s="12" t="s">
        <v>553</v>
      </c>
      <c r="C11" s="13" t="s">
        <v>554</v>
      </c>
    </row>
    <row r="12" spans="1:3" s="1" customFormat="1" ht="28" x14ac:dyDescent="0.35">
      <c r="A12" s="135"/>
      <c r="B12" s="12" t="s">
        <v>555</v>
      </c>
      <c r="C12" s="13" t="s">
        <v>556</v>
      </c>
    </row>
    <row r="13" spans="1:3" s="1" customFormat="1" ht="42" x14ac:dyDescent="0.35">
      <c r="A13" s="135"/>
      <c r="B13" s="12" t="s">
        <v>557</v>
      </c>
      <c r="C13" s="13" t="s">
        <v>558</v>
      </c>
    </row>
    <row r="14" spans="1:3" s="1" customFormat="1" ht="42" x14ac:dyDescent="0.35">
      <c r="A14" s="135"/>
      <c r="B14" s="12" t="s">
        <v>559</v>
      </c>
      <c r="C14" s="13" t="s">
        <v>560</v>
      </c>
    </row>
    <row r="15" spans="1:3" s="1" customFormat="1" ht="28" x14ac:dyDescent="0.35">
      <c r="A15" s="135"/>
      <c r="B15" s="12" t="s">
        <v>561</v>
      </c>
      <c r="C15" s="13" t="s">
        <v>562</v>
      </c>
    </row>
    <row r="16" spans="1:3" s="1" customFormat="1" ht="28" x14ac:dyDescent="0.35">
      <c r="A16" s="136"/>
      <c r="B16" s="12" t="s">
        <v>563</v>
      </c>
      <c r="C16" s="13" t="s">
        <v>564</v>
      </c>
    </row>
    <row r="17" spans="1:3" s="1" customFormat="1" ht="98" x14ac:dyDescent="0.35">
      <c r="A17" s="134" t="s">
        <v>595</v>
      </c>
      <c r="B17" s="68" t="s">
        <v>598</v>
      </c>
      <c r="C17" s="75" t="s">
        <v>599</v>
      </c>
    </row>
    <row r="18" spans="1:3" s="1" customFormat="1" ht="84" x14ac:dyDescent="0.35">
      <c r="A18" s="135"/>
      <c r="B18" s="75" t="s">
        <v>600</v>
      </c>
      <c r="C18" s="75" t="s">
        <v>601</v>
      </c>
    </row>
    <row r="19" spans="1:3" s="1" customFormat="1" ht="70" x14ac:dyDescent="0.35">
      <c r="A19" s="135"/>
      <c r="B19" s="75" t="s">
        <v>602</v>
      </c>
      <c r="C19" s="75" t="s">
        <v>603</v>
      </c>
    </row>
    <row r="20" spans="1:3" s="1" customFormat="1" ht="56" x14ac:dyDescent="0.35">
      <c r="A20" s="135"/>
      <c r="B20" s="75" t="s">
        <v>604</v>
      </c>
      <c r="C20" s="75" t="s">
        <v>605</v>
      </c>
    </row>
    <row r="21" spans="1:3" s="1" customFormat="1" ht="84" x14ac:dyDescent="0.35">
      <c r="A21" s="135"/>
      <c r="B21" s="75" t="s">
        <v>606</v>
      </c>
      <c r="C21" s="75" t="s">
        <v>607</v>
      </c>
    </row>
    <row r="22" spans="1:3" s="1" customFormat="1" ht="70" x14ac:dyDescent="0.35">
      <c r="A22" s="135"/>
      <c r="B22" s="75" t="s">
        <v>608</v>
      </c>
      <c r="C22" s="75" t="s">
        <v>609</v>
      </c>
    </row>
    <row r="23" spans="1:3" s="1" customFormat="1" ht="84" x14ac:dyDescent="0.35">
      <c r="A23" s="135"/>
      <c r="B23" s="75" t="s">
        <v>610</v>
      </c>
      <c r="C23" s="75" t="s">
        <v>611</v>
      </c>
    </row>
    <row r="24" spans="1:3" s="1" customFormat="1" ht="70" x14ac:dyDescent="0.35">
      <c r="A24" s="135"/>
      <c r="B24" s="76" t="s">
        <v>612</v>
      </c>
      <c r="C24" s="75" t="s">
        <v>613</v>
      </c>
    </row>
    <row r="25" spans="1:3" s="1" customFormat="1" ht="70" x14ac:dyDescent="0.35">
      <c r="A25" s="135"/>
      <c r="B25" s="66" t="s">
        <v>614</v>
      </c>
      <c r="C25" s="77" t="s">
        <v>615</v>
      </c>
    </row>
    <row r="26" spans="1:3" s="1" customFormat="1" ht="84" x14ac:dyDescent="0.35">
      <c r="A26" s="135"/>
      <c r="B26" s="66" t="s">
        <v>616</v>
      </c>
      <c r="C26" s="77" t="s">
        <v>617</v>
      </c>
    </row>
    <row r="27" spans="1:3" s="1" customFormat="1" ht="70" x14ac:dyDescent="0.35">
      <c r="A27" s="135"/>
      <c r="B27" s="66" t="s">
        <v>618</v>
      </c>
      <c r="C27" s="77" t="s">
        <v>619</v>
      </c>
    </row>
    <row r="28" spans="1:3" s="1" customFormat="1" ht="70" x14ac:dyDescent="0.35">
      <c r="A28" s="136"/>
      <c r="B28" s="66" t="s">
        <v>620</v>
      </c>
      <c r="C28" s="77" t="s">
        <v>621</v>
      </c>
    </row>
    <row r="29" spans="1:3" s="1" customFormat="1" ht="56" x14ac:dyDescent="0.35">
      <c r="A29" s="127" t="s">
        <v>27</v>
      </c>
      <c r="B29" s="65" t="s">
        <v>194</v>
      </c>
      <c r="C29" s="66" t="s">
        <v>195</v>
      </c>
    </row>
    <row r="30" spans="1:3" s="1" customFormat="1" ht="42" x14ac:dyDescent="0.35">
      <c r="A30" s="129"/>
      <c r="B30" s="67" t="s">
        <v>196</v>
      </c>
      <c r="C30" s="68" t="s">
        <v>197</v>
      </c>
    </row>
    <row r="52" s="1" customFormat="1" x14ac:dyDescent="0.35"/>
  </sheetData>
  <mergeCells count="5">
    <mergeCell ref="A2:A4"/>
    <mergeCell ref="A5:A9"/>
    <mergeCell ref="A17:A28"/>
    <mergeCell ref="A29:A30"/>
    <mergeCell ref="A10:A1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427EE-538E-458C-BEA9-282A12D7B298}">
  <sheetPr>
    <tabColor theme="5" tint="0.39997558519241921"/>
  </sheetPr>
  <dimension ref="A1:C22"/>
  <sheetViews>
    <sheetView showGridLines="0" workbookViewId="0">
      <pane ySplit="1" topLeftCell="A2" activePane="bottomLeft" state="frozen"/>
      <selection pane="bottomLeft" activeCell="C18" sqref="C18"/>
    </sheetView>
  </sheetViews>
  <sheetFormatPr defaultRowHeight="14.5" x14ac:dyDescent="0.35"/>
  <cols>
    <col min="1" max="1" width="20.08984375" customWidth="1"/>
    <col min="2" max="2" width="27.81640625" customWidth="1"/>
    <col min="3" max="3" width="54.1796875" customWidth="1"/>
  </cols>
  <sheetData>
    <row r="1" spans="1:3" x14ac:dyDescent="0.35">
      <c r="A1" s="37" t="s">
        <v>18</v>
      </c>
      <c r="B1" s="37" t="s">
        <v>54</v>
      </c>
      <c r="C1" s="37" t="s">
        <v>55</v>
      </c>
    </row>
    <row r="2" spans="1:3" s="42" customFormat="1" ht="140" x14ac:dyDescent="0.35">
      <c r="A2" s="49" t="s">
        <v>265</v>
      </c>
      <c r="B2" s="49" t="s">
        <v>99</v>
      </c>
      <c r="C2" s="46" t="s">
        <v>352</v>
      </c>
    </row>
    <row r="3" spans="1:3" s="11" customFormat="1" ht="42" x14ac:dyDescent="0.3">
      <c r="A3" s="115" t="s">
        <v>287</v>
      </c>
      <c r="B3" s="18" t="s">
        <v>185</v>
      </c>
      <c r="C3" s="18" t="s">
        <v>240</v>
      </c>
    </row>
    <row r="4" spans="1:3" s="11" customFormat="1" ht="14" x14ac:dyDescent="0.3">
      <c r="A4" s="116"/>
      <c r="B4" s="18" t="s">
        <v>186</v>
      </c>
      <c r="C4" s="18" t="s">
        <v>241</v>
      </c>
    </row>
    <row r="5" spans="1:3" s="11" customFormat="1" ht="28" x14ac:dyDescent="0.3">
      <c r="A5" s="116"/>
      <c r="B5" s="18" t="s">
        <v>187</v>
      </c>
      <c r="C5" s="18" t="s">
        <v>242</v>
      </c>
    </row>
    <row r="6" spans="1:3" s="11" customFormat="1" ht="14" x14ac:dyDescent="0.3">
      <c r="A6" s="116"/>
      <c r="B6" s="18" t="s">
        <v>188</v>
      </c>
      <c r="C6" s="18" t="s">
        <v>189</v>
      </c>
    </row>
    <row r="7" spans="1:3" s="11" customFormat="1" ht="42" x14ac:dyDescent="0.3">
      <c r="A7" s="116"/>
      <c r="B7" s="17" t="s">
        <v>243</v>
      </c>
      <c r="C7" s="18" t="s">
        <v>244</v>
      </c>
    </row>
    <row r="8" spans="1:3" s="11" customFormat="1" ht="28" x14ac:dyDescent="0.3">
      <c r="A8" s="116"/>
      <c r="B8" s="50" t="s">
        <v>245</v>
      </c>
      <c r="C8" s="17" t="s">
        <v>246</v>
      </c>
    </row>
    <row r="9" spans="1:3" s="11" customFormat="1" ht="56" x14ac:dyDescent="0.3">
      <c r="A9" s="116"/>
      <c r="B9" s="50" t="s">
        <v>247</v>
      </c>
      <c r="C9" s="51" t="s">
        <v>353</v>
      </c>
    </row>
    <row r="10" spans="1:3" s="11" customFormat="1" ht="28" x14ac:dyDescent="0.3">
      <c r="A10" s="116"/>
      <c r="B10" s="137" t="s">
        <v>248</v>
      </c>
      <c r="C10" s="52" t="s">
        <v>354</v>
      </c>
    </row>
    <row r="11" spans="1:3" s="11" customFormat="1" ht="28" x14ac:dyDescent="0.3">
      <c r="A11" s="116"/>
      <c r="B11" s="138"/>
      <c r="C11" s="53" t="s">
        <v>355</v>
      </c>
    </row>
    <row r="12" spans="1:3" s="11" customFormat="1" ht="42" x14ac:dyDescent="0.3">
      <c r="A12" s="116"/>
      <c r="B12" s="50" t="s">
        <v>249</v>
      </c>
      <c r="C12" s="51" t="s">
        <v>356</v>
      </c>
    </row>
    <row r="13" spans="1:3" s="11" customFormat="1" ht="28" x14ac:dyDescent="0.3">
      <c r="A13" s="116"/>
      <c r="B13" s="137" t="s">
        <v>250</v>
      </c>
      <c r="C13" s="52" t="s">
        <v>357</v>
      </c>
    </row>
    <row r="14" spans="1:3" s="11" customFormat="1" ht="14" x14ac:dyDescent="0.3">
      <c r="A14" s="116"/>
      <c r="B14" s="139"/>
      <c r="C14" s="54" t="s">
        <v>358</v>
      </c>
    </row>
    <row r="15" spans="1:3" s="11" customFormat="1" ht="14" x14ac:dyDescent="0.3">
      <c r="A15" s="116"/>
      <c r="B15" s="138"/>
      <c r="C15" s="55" t="s">
        <v>251</v>
      </c>
    </row>
    <row r="16" spans="1:3" s="11" customFormat="1" ht="28" x14ac:dyDescent="0.3">
      <c r="A16" s="116"/>
      <c r="B16" s="17" t="s">
        <v>252</v>
      </c>
      <c r="C16" s="17" t="s">
        <v>253</v>
      </c>
    </row>
    <row r="17" spans="1:3" s="11" customFormat="1" ht="42" x14ac:dyDescent="0.3">
      <c r="A17" s="116"/>
      <c r="B17" s="50" t="s">
        <v>254</v>
      </c>
      <c r="C17" s="51" t="s">
        <v>359</v>
      </c>
    </row>
    <row r="18" spans="1:3" s="11" customFormat="1" ht="42" x14ac:dyDescent="0.3">
      <c r="A18" s="116"/>
      <c r="B18" s="50" t="s">
        <v>264</v>
      </c>
      <c r="C18" s="17" t="s">
        <v>255</v>
      </c>
    </row>
    <row r="19" spans="1:3" s="11" customFormat="1" ht="56" x14ac:dyDescent="0.3">
      <c r="A19" s="116"/>
      <c r="B19" s="50" t="s">
        <v>256</v>
      </c>
      <c r="C19" s="17" t="s">
        <v>257</v>
      </c>
    </row>
    <row r="20" spans="1:3" s="11" customFormat="1" ht="42" x14ac:dyDescent="0.3">
      <c r="A20" s="116"/>
      <c r="B20" s="50" t="s">
        <v>258</v>
      </c>
      <c r="C20" s="17" t="s">
        <v>259</v>
      </c>
    </row>
    <row r="21" spans="1:3" s="11" customFormat="1" ht="42" x14ac:dyDescent="0.3">
      <c r="A21" s="116"/>
      <c r="B21" s="50" t="s">
        <v>260</v>
      </c>
      <c r="C21" s="17" t="s">
        <v>261</v>
      </c>
    </row>
    <row r="22" spans="1:3" s="11" customFormat="1" ht="42" x14ac:dyDescent="0.3">
      <c r="A22" s="117"/>
      <c r="B22" s="50" t="s">
        <v>262</v>
      </c>
      <c r="C22" s="17" t="s">
        <v>263</v>
      </c>
    </row>
  </sheetData>
  <mergeCells count="3">
    <mergeCell ref="B10:B11"/>
    <mergeCell ref="B13:B15"/>
    <mergeCell ref="A3:A2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AAEDD-35F8-4D63-9390-9DAE3897E60A}">
  <sheetPr>
    <tabColor rgb="FF7030A0"/>
  </sheetPr>
  <dimension ref="A1:D21"/>
  <sheetViews>
    <sheetView showGridLines="0" workbookViewId="0">
      <pane ySplit="1" topLeftCell="A14" activePane="bottomLeft" state="frozen"/>
      <selection pane="bottomLeft" activeCell="D13" sqref="D13"/>
    </sheetView>
  </sheetViews>
  <sheetFormatPr defaultRowHeight="14" x14ac:dyDescent="0.3"/>
  <cols>
    <col min="1" max="1" width="31.7265625" style="11" bestFit="1" customWidth="1"/>
    <col min="2" max="2" width="32.81640625" style="11" bestFit="1" customWidth="1"/>
    <col min="3" max="3" width="45.81640625" style="11" bestFit="1" customWidth="1"/>
    <col min="4" max="16384" width="8.7265625" style="11"/>
  </cols>
  <sheetData>
    <row r="1" spans="1:4" ht="20" customHeight="1" x14ac:dyDescent="0.3">
      <c r="A1" s="47" t="s">
        <v>6</v>
      </c>
      <c r="B1" s="47" t="s">
        <v>198</v>
      </c>
      <c r="C1" s="47" t="s">
        <v>199</v>
      </c>
      <c r="D1" s="47" t="s">
        <v>8</v>
      </c>
    </row>
    <row r="2" spans="1:4" x14ac:dyDescent="0.3">
      <c r="A2" s="78" t="s">
        <v>200</v>
      </c>
      <c r="B2" s="78" t="s">
        <v>622</v>
      </c>
      <c r="C2" s="78" t="s">
        <v>623</v>
      </c>
      <c r="D2" s="78">
        <v>0.75</v>
      </c>
    </row>
    <row r="3" spans="1:4" x14ac:dyDescent="0.3">
      <c r="A3" s="78" t="s">
        <v>200</v>
      </c>
      <c r="B3" s="78" t="s">
        <v>201</v>
      </c>
      <c r="C3" s="78" t="s">
        <v>202</v>
      </c>
      <c r="D3" s="78">
        <v>2</v>
      </c>
    </row>
    <row r="4" spans="1:4" x14ac:dyDescent="0.3">
      <c r="A4" s="78" t="s">
        <v>200</v>
      </c>
      <c r="B4" s="78" t="s">
        <v>203</v>
      </c>
      <c r="C4" s="78" t="s">
        <v>204</v>
      </c>
      <c r="D4" s="78">
        <v>2</v>
      </c>
    </row>
    <row r="5" spans="1:4" x14ac:dyDescent="0.3">
      <c r="A5" s="78" t="s">
        <v>205</v>
      </c>
      <c r="B5" s="78" t="s">
        <v>206</v>
      </c>
      <c r="C5" s="78" t="s">
        <v>207</v>
      </c>
      <c r="D5" s="78">
        <v>2</v>
      </c>
    </row>
    <row r="6" spans="1:4" x14ac:dyDescent="0.3">
      <c r="A6" s="78" t="s">
        <v>205</v>
      </c>
      <c r="B6" s="78" t="s">
        <v>203</v>
      </c>
      <c r="C6" s="78" t="s">
        <v>208</v>
      </c>
      <c r="D6" s="78">
        <v>2</v>
      </c>
    </row>
    <row r="7" spans="1:4" x14ac:dyDescent="0.3">
      <c r="A7" s="78" t="s">
        <v>209</v>
      </c>
      <c r="B7" s="78" t="s">
        <v>201</v>
      </c>
      <c r="C7" s="78" t="s">
        <v>210</v>
      </c>
      <c r="D7" s="78">
        <v>2</v>
      </c>
    </row>
    <row r="8" spans="1:4" x14ac:dyDescent="0.3">
      <c r="A8" s="78" t="s">
        <v>209</v>
      </c>
      <c r="B8" s="78" t="s">
        <v>211</v>
      </c>
      <c r="C8" s="78" t="s">
        <v>212</v>
      </c>
      <c r="D8" s="78">
        <v>2</v>
      </c>
    </row>
    <row r="9" spans="1:4" x14ac:dyDescent="0.3">
      <c r="A9" s="78" t="s">
        <v>213</v>
      </c>
      <c r="B9" s="78" t="s">
        <v>203</v>
      </c>
      <c r="C9" s="78" t="s">
        <v>214</v>
      </c>
      <c r="D9" s="78">
        <v>2</v>
      </c>
    </row>
    <row r="10" spans="1:4" x14ac:dyDescent="0.3">
      <c r="A10" s="79" t="s">
        <v>213</v>
      </c>
      <c r="B10" s="78" t="s">
        <v>215</v>
      </c>
      <c r="C10" s="78" t="s">
        <v>216</v>
      </c>
      <c r="D10" s="78">
        <v>2</v>
      </c>
    </row>
    <row r="11" spans="1:4" x14ac:dyDescent="0.3">
      <c r="A11" s="113" t="s">
        <v>217</v>
      </c>
      <c r="B11" s="78" t="s">
        <v>218</v>
      </c>
      <c r="C11" s="78" t="s">
        <v>219</v>
      </c>
      <c r="D11" s="78">
        <v>2</v>
      </c>
    </row>
    <row r="12" spans="1:4" x14ac:dyDescent="0.3">
      <c r="A12" s="114"/>
      <c r="B12" s="78" t="s">
        <v>220</v>
      </c>
      <c r="C12" s="78" t="s">
        <v>219</v>
      </c>
      <c r="D12" s="78">
        <v>3</v>
      </c>
    </row>
    <row r="13" spans="1:4" x14ac:dyDescent="0.3">
      <c r="A13" s="78" t="s">
        <v>221</v>
      </c>
      <c r="B13" s="78" t="s">
        <v>215</v>
      </c>
      <c r="C13" s="78" t="s">
        <v>222</v>
      </c>
      <c r="D13" s="78">
        <v>2</v>
      </c>
    </row>
    <row r="14" spans="1:4" x14ac:dyDescent="0.3">
      <c r="A14" s="78" t="s">
        <v>14</v>
      </c>
      <c r="B14" s="78" t="s">
        <v>211</v>
      </c>
      <c r="C14" s="78" t="s">
        <v>223</v>
      </c>
      <c r="D14" s="78">
        <v>2</v>
      </c>
    </row>
    <row r="15" spans="1:4" x14ac:dyDescent="0.3">
      <c r="A15" s="78" t="s">
        <v>14</v>
      </c>
      <c r="B15" s="78" t="s">
        <v>203</v>
      </c>
      <c r="C15" s="78" t="s">
        <v>224</v>
      </c>
      <c r="D15" s="78">
        <v>2</v>
      </c>
    </row>
    <row r="16" spans="1:4" x14ac:dyDescent="0.3">
      <c r="A16" s="78" t="s">
        <v>225</v>
      </c>
      <c r="B16" s="78" t="s">
        <v>215</v>
      </c>
      <c r="C16" s="78" t="s">
        <v>216</v>
      </c>
      <c r="D16" s="78">
        <v>2</v>
      </c>
    </row>
    <row r="17" spans="1:4" x14ac:dyDescent="0.3">
      <c r="A17" s="78" t="s">
        <v>225</v>
      </c>
      <c r="B17" s="78" t="s">
        <v>215</v>
      </c>
      <c r="C17" s="78" t="s">
        <v>226</v>
      </c>
      <c r="D17" s="78">
        <v>2</v>
      </c>
    </row>
    <row r="18" spans="1:4" x14ac:dyDescent="0.3">
      <c r="A18" s="79" t="s">
        <v>227</v>
      </c>
      <c r="B18" s="78" t="s">
        <v>203</v>
      </c>
      <c r="C18" s="78" t="s">
        <v>228</v>
      </c>
      <c r="D18" s="78">
        <v>2</v>
      </c>
    </row>
    <row r="19" spans="1:4" x14ac:dyDescent="0.3">
      <c r="A19" s="140" t="s">
        <v>229</v>
      </c>
      <c r="B19" s="78" t="s">
        <v>230</v>
      </c>
      <c r="C19" s="78" t="s">
        <v>231</v>
      </c>
      <c r="D19" s="78">
        <v>2</v>
      </c>
    </row>
    <row r="20" spans="1:4" x14ac:dyDescent="0.3">
      <c r="A20" s="141"/>
      <c r="B20" s="80" t="s">
        <v>232</v>
      </c>
      <c r="C20" s="80" t="s">
        <v>233</v>
      </c>
      <c r="D20" s="80">
        <v>3.5</v>
      </c>
    </row>
    <row r="21" spans="1:4" x14ac:dyDescent="0.3">
      <c r="A21" s="80" t="s">
        <v>624</v>
      </c>
      <c r="B21" s="80" t="s">
        <v>625</v>
      </c>
      <c r="C21" s="80" t="s">
        <v>626</v>
      </c>
      <c r="D21" s="80">
        <v>0.75</v>
      </c>
    </row>
  </sheetData>
  <mergeCells count="2">
    <mergeCell ref="A19:A20"/>
    <mergeCell ref="A11:A1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4FC69-2D26-49FE-8BA3-726451149D9B}">
  <sheetPr>
    <tabColor rgb="FF92D050"/>
  </sheetPr>
  <dimension ref="A1:B5"/>
  <sheetViews>
    <sheetView showGridLines="0" workbookViewId="0">
      <pane ySplit="1" topLeftCell="A2" activePane="bottomLeft" state="frozen"/>
      <selection pane="bottomLeft" activeCell="D4" sqref="D4"/>
    </sheetView>
  </sheetViews>
  <sheetFormatPr defaultColWidth="9.1796875" defaultRowHeight="14" x14ac:dyDescent="0.35"/>
  <cols>
    <col min="1" max="1" width="38.7265625" style="1" customWidth="1"/>
    <col min="2" max="2" width="48.26953125" style="1" customWidth="1"/>
    <col min="3" max="16384" width="9.1796875" style="1"/>
  </cols>
  <sheetData>
    <row r="1" spans="1:2" s="11" customFormat="1" ht="20" customHeight="1" x14ac:dyDescent="0.3">
      <c r="A1" s="56" t="s">
        <v>234</v>
      </c>
      <c r="B1" s="56" t="s">
        <v>235</v>
      </c>
    </row>
    <row r="2" spans="1:2" ht="98" x14ac:dyDescent="0.35">
      <c r="A2" s="36" t="s">
        <v>360</v>
      </c>
      <c r="B2" s="36" t="s">
        <v>236</v>
      </c>
    </row>
    <row r="3" spans="1:2" ht="56" x14ac:dyDescent="0.35">
      <c r="A3" s="36" t="s">
        <v>361</v>
      </c>
      <c r="B3" s="36" t="s">
        <v>237</v>
      </c>
    </row>
    <row r="4" spans="1:2" ht="42" x14ac:dyDescent="0.35">
      <c r="A4" s="36" t="s">
        <v>362</v>
      </c>
      <c r="B4" s="36" t="s">
        <v>274</v>
      </c>
    </row>
    <row r="5" spans="1:2" ht="98" x14ac:dyDescent="0.35">
      <c r="A5" s="36" t="s">
        <v>363</v>
      </c>
      <c r="B5" s="36" t="s">
        <v>275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267C6-8689-4440-AEF4-2E25FFE297DD}">
  <sheetPr>
    <tabColor theme="5" tint="-0.249977111117893"/>
  </sheetPr>
  <dimension ref="A1:B17"/>
  <sheetViews>
    <sheetView showGridLines="0" workbookViewId="0">
      <pane ySplit="1" topLeftCell="A2" activePane="bottomLeft" state="frozen"/>
      <selection pane="bottomLeft" activeCell="J11" sqref="J11"/>
    </sheetView>
  </sheetViews>
  <sheetFormatPr defaultRowHeight="14.5" x14ac:dyDescent="0.35"/>
  <cols>
    <col min="1" max="1" width="28.81640625" customWidth="1"/>
    <col min="2" max="2" width="46.54296875" customWidth="1"/>
  </cols>
  <sheetData>
    <row r="1" spans="1:2" x14ac:dyDescent="0.35">
      <c r="A1" s="57" t="s">
        <v>364</v>
      </c>
      <c r="B1" s="58" t="s">
        <v>365</v>
      </c>
    </row>
    <row r="2" spans="1:2" ht="28.5" x14ac:dyDescent="0.35">
      <c r="A2" s="59" t="s">
        <v>366</v>
      </c>
      <c r="B2" s="60" t="s">
        <v>367</v>
      </c>
    </row>
    <row r="3" spans="1:2" x14ac:dyDescent="0.35">
      <c r="A3" s="61" t="s">
        <v>368</v>
      </c>
      <c r="B3" s="60" t="s">
        <v>369</v>
      </c>
    </row>
    <row r="4" spans="1:2" x14ac:dyDescent="0.35">
      <c r="A4" s="61" t="s">
        <v>370</v>
      </c>
      <c r="B4" s="60" t="s">
        <v>371</v>
      </c>
    </row>
    <row r="5" spans="1:2" x14ac:dyDescent="0.35">
      <c r="A5" s="142" t="s">
        <v>372</v>
      </c>
      <c r="B5" s="62" t="s">
        <v>373</v>
      </c>
    </row>
    <row r="6" spans="1:2" x14ac:dyDescent="0.35">
      <c r="A6" s="143"/>
      <c r="B6" s="62" t="s">
        <v>374</v>
      </c>
    </row>
    <row r="7" spans="1:2" x14ac:dyDescent="0.35">
      <c r="A7" s="143"/>
      <c r="B7" s="62" t="s">
        <v>375</v>
      </c>
    </row>
    <row r="8" spans="1:2" x14ac:dyDescent="0.35">
      <c r="A8" s="143"/>
      <c r="B8" s="62" t="s">
        <v>376</v>
      </c>
    </row>
    <row r="9" spans="1:2" x14ac:dyDescent="0.35">
      <c r="A9" s="143"/>
      <c r="B9" s="60" t="s">
        <v>377</v>
      </c>
    </row>
    <row r="10" spans="1:2" x14ac:dyDescent="0.35">
      <c r="A10" s="144" t="s">
        <v>378</v>
      </c>
      <c r="B10" s="62" t="s">
        <v>379</v>
      </c>
    </row>
    <row r="11" spans="1:2" x14ac:dyDescent="0.35">
      <c r="A11" s="144"/>
      <c r="B11" s="62" t="s">
        <v>380</v>
      </c>
    </row>
    <row r="12" spans="1:2" x14ac:dyDescent="0.35">
      <c r="A12" s="144"/>
      <c r="B12" s="62" t="s">
        <v>381</v>
      </c>
    </row>
    <row r="13" spans="1:2" x14ac:dyDescent="0.35">
      <c r="A13" s="144"/>
      <c r="B13" s="60" t="s">
        <v>382</v>
      </c>
    </row>
    <row r="14" spans="1:2" x14ac:dyDescent="0.35">
      <c r="A14" s="145" t="s">
        <v>383</v>
      </c>
      <c r="B14" s="62" t="s">
        <v>384</v>
      </c>
    </row>
    <row r="15" spans="1:2" x14ac:dyDescent="0.35">
      <c r="A15" s="145"/>
      <c r="B15" s="62" t="s">
        <v>385</v>
      </c>
    </row>
    <row r="16" spans="1:2" x14ac:dyDescent="0.35">
      <c r="A16" s="145"/>
      <c r="B16" s="62" t="s">
        <v>386</v>
      </c>
    </row>
    <row r="17" spans="1:2" x14ac:dyDescent="0.35">
      <c r="A17" s="145"/>
      <c r="B17" s="60" t="s">
        <v>387</v>
      </c>
    </row>
  </sheetData>
  <mergeCells count="3">
    <mergeCell ref="A5:A9"/>
    <mergeCell ref="A10:A13"/>
    <mergeCell ref="A14:A1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36ce515-a707-4959-aaa2-b339df12b9ad">
      <Terms xmlns="http://schemas.microsoft.com/office/infopath/2007/PartnerControls"/>
    </lcf76f155ced4ddcb4097134ff3c332f>
    <TaxCatchAll xmlns="c1fa1b37-97c2-4738-b9c9-f06e40c084a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45039A044B60D40B3724930C1FBFD03" ma:contentTypeVersion="17" ma:contentTypeDescription="Create a new document." ma:contentTypeScope="" ma:versionID="3f09417f93134658a5eb5e275513094b">
  <xsd:schema xmlns:xsd="http://www.w3.org/2001/XMLSchema" xmlns:xs="http://www.w3.org/2001/XMLSchema" xmlns:p="http://schemas.microsoft.com/office/2006/metadata/properties" xmlns:ns2="a36ce515-a707-4959-aaa2-b339df12b9ad" xmlns:ns3="c1fa1b37-97c2-4738-b9c9-f06e40c084a6" targetNamespace="http://schemas.microsoft.com/office/2006/metadata/properties" ma:root="true" ma:fieldsID="24d1f94bb238deebf8beaaa93a7a0d54" ns2:_="" ns3:_="">
    <xsd:import namespace="a36ce515-a707-4959-aaa2-b339df12b9ad"/>
    <xsd:import namespace="c1fa1b37-97c2-4738-b9c9-f06e40c084a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6ce515-a707-4959-aaa2-b339df12b9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1fa1b37-97c2-4738-b9c9-f06e40c084a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8000b07d-837c-47c6-83e1-c25618c757b1}" ma:internalName="TaxCatchAll" ma:showField="CatchAllData" ma:web="c1fa1b37-97c2-4738-b9c9-f06e40c084a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7D1B335-0D79-4451-AE45-24BD7D524B44}">
  <ds:schemaRefs>
    <ds:schemaRef ds:uri="http://schemas.microsoft.com/sharepoint/v3/contenttype/forms"/>
  </ds:schemaRefs>
</ds:datastoreItem>
</file>

<file path=customXml/itemProps2.xml><?xml version="1.0" encoding="utf-8"?>
<ds:datastoreItem xmlns:ds="http://schemas.openxmlformats.org/officeDocument/2006/customXml" ds:itemID="{10FDE2FA-04F9-47AB-AA88-47B0DF2CB570}">
  <ds:schemaRefs>
    <ds:schemaRef ds:uri="http://purl.org/dc/terms/"/>
    <ds:schemaRef ds:uri="http://purl.org/dc/elements/1.1/"/>
    <ds:schemaRef ds:uri="http://www.w3.org/XML/1998/namespace"/>
    <ds:schemaRef ds:uri="http://schemas.openxmlformats.org/package/2006/metadata/core-properties"/>
    <ds:schemaRef ds:uri="951c5514-b77c-4532-82d5-a05f2f7d58e2"/>
    <ds:schemaRef ds:uri="http://schemas.microsoft.com/office/2006/documentManagement/types"/>
    <ds:schemaRef ds:uri="http://purl.org/dc/dcmitype/"/>
    <ds:schemaRef ds:uri="http://schemas.microsoft.com/office/infopath/2007/PartnerControls"/>
    <ds:schemaRef ds:uri="3c35e321-f73a-4dae-ae38-a0459de24735"/>
    <ds:schemaRef ds:uri="c6f516c4-2602-422c-aa9a-755893ba4f98"/>
    <ds:schemaRef ds:uri="http://schemas.microsoft.com/office/2006/metadata/properties"/>
  </ds:schemaRefs>
</ds:datastoreItem>
</file>

<file path=customXml/itemProps3.xml><?xml version="1.0" encoding="utf-8"?>
<ds:datastoreItem xmlns:ds="http://schemas.openxmlformats.org/officeDocument/2006/customXml" ds:itemID="{DA2F118F-4A22-423E-BA80-9B0EF2E666B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 the Curriculum</vt:lpstr>
      <vt:lpstr>Dev-Led View</vt:lpstr>
      <vt:lpstr>Module List</vt:lpstr>
      <vt:lpstr>Performance Outcomes</vt:lpstr>
      <vt:lpstr>Refresher - Tech Scope</vt:lpstr>
      <vt:lpstr>Sprint 1 - Tech Scope</vt:lpstr>
      <vt:lpstr>Sprint 2 - Tech Scope</vt:lpstr>
      <vt:lpstr>Sprint 3 - Tech Scope</vt:lpstr>
      <vt:lpstr>Sprint 4 - Tech Scope</vt:lpstr>
      <vt:lpstr>Sprint 5 - Tech Scope</vt:lpstr>
      <vt:lpstr>BH Training - Scope</vt:lpstr>
      <vt:lpstr>AI Accelerate - Coverage</vt:lpstr>
      <vt:lpstr>GitHub Copilot - Coverage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Pujari, Raj Surya (Cognizant)</cp:lastModifiedBy>
  <cp:revision/>
  <dcterms:created xsi:type="dcterms:W3CDTF">2023-10-16T01:13:56Z</dcterms:created>
  <dcterms:modified xsi:type="dcterms:W3CDTF">2026-02-05T07:06:09Z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0x010100145039A044B60D40B3724930C1FBFD03</vt:lpwstr>
  </property>
</Properties>
</file>